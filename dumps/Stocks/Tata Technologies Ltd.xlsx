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BB7F57A_49ED_409B_8A47_33076E3D4AEE_.wvu.FilterData" localSheetId="0" hidden="1">'Trading History'!$A$4:$AO$43</definedName>
    <definedName name="_xlnm._FilterDatabase" localSheetId="0" hidden="1">'Trading History'!$A$4:$AO$43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6.5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9.25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9.25" customWidth="1" style="74" min="21" max="21"/>
    <col width="7.63" customWidth="1" style="74" min="22" max="22"/>
    <col width="7.88" customWidth="1" style="74" min="23" max="23"/>
    <col width="11.13" customWidth="1" style="74" min="24" max="24"/>
    <col width="12.5" customWidth="1" style="74" min="25" max="26"/>
    <col width="8.380000000000001" customWidth="1" style="74" min="27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5" t="n">
        <v>46049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655.55</v>
      </c>
      <c r="F5" t="n">
        <v>3294.15</v>
      </c>
      <c r="G5" t="inlineStr">
        <is>
          <t>CN#252611030591</t>
        </is>
      </c>
      <c r="I5" t="n">
        <v>16.4</v>
      </c>
      <c r="J5">
        <f>Index!$C$2</f>
        <v/>
      </c>
    </row>
    <row r="6">
      <c r="A6" s="85" t="n">
        <v>46034</v>
      </c>
      <c r="B6" s="0" t="inlineStr">
        <is>
          <t>NSE</t>
        </is>
      </c>
      <c r="C6" s="0" t="inlineStr">
        <is>
          <t>Buy</t>
        </is>
      </c>
      <c r="D6" s="0" t="n">
        <v>5</v>
      </c>
      <c r="E6" s="0" t="n">
        <v>649.75</v>
      </c>
      <c r="F6" s="0" t="n">
        <v>3265</v>
      </c>
      <c r="G6" s="0" t="inlineStr">
        <is>
          <t>CN#252610469431</t>
        </is>
      </c>
      <c r="I6" s="0" t="n">
        <v>16.25</v>
      </c>
      <c r="J6" s="0">
        <f>Index!$C$2</f>
        <v/>
      </c>
    </row>
    <row r="7">
      <c r="A7" s="85" t="n">
        <v>46030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662.6</v>
      </c>
      <c r="F7" s="0" t="n">
        <v>3329.55</v>
      </c>
      <c r="G7" s="0" t="inlineStr">
        <is>
          <t>CN#252610347614</t>
        </is>
      </c>
      <c r="I7" s="0" t="n">
        <v>16.55</v>
      </c>
      <c r="J7" s="0">
        <f>Index!$C$2</f>
        <v/>
      </c>
    </row>
    <row r="8">
      <c r="A8" s="85" t="n">
        <v>46027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655.95</v>
      </c>
      <c r="F8" s="0" t="n">
        <v>3296.15</v>
      </c>
      <c r="G8" s="0" t="inlineStr">
        <is>
          <t>CN#252610159828</t>
        </is>
      </c>
      <c r="I8" s="0" t="n">
        <v>16.4</v>
      </c>
      <c r="J8" s="0">
        <f>Index!$C$2</f>
        <v/>
      </c>
    </row>
    <row r="9">
      <c r="A9" s="85" t="n">
        <v>46015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663.5</v>
      </c>
      <c r="F9" s="0" t="n">
        <v>3334.1</v>
      </c>
      <c r="G9" s="0" t="inlineStr">
        <is>
          <t>CN#252609755521</t>
        </is>
      </c>
      <c r="I9" s="0" t="n">
        <v>16.6</v>
      </c>
      <c r="J9" s="0">
        <f>Index!$C$2</f>
        <v/>
      </c>
    </row>
    <row r="10">
      <c r="A10" s="85" t="n">
        <v>46009</v>
      </c>
      <c r="B10" s="0" t="inlineStr">
        <is>
          <t>BSE</t>
        </is>
      </c>
      <c r="C10" s="0" t="inlineStr">
        <is>
          <t>Buy</t>
        </is>
      </c>
      <c r="D10" s="0" t="n">
        <v>5</v>
      </c>
      <c r="E10" s="0" t="n">
        <v>637.4</v>
      </c>
      <c r="F10" s="0" t="n">
        <v>3202.95</v>
      </c>
      <c r="G10" s="0" t="inlineStr">
        <is>
          <t>CN#252609527272</t>
        </is>
      </c>
      <c r="I10" s="0" t="n">
        <v>15.95</v>
      </c>
      <c r="J10" s="0">
        <f>Index!$C$2</f>
        <v/>
      </c>
    </row>
    <row r="11">
      <c r="A11" s="85" t="n">
        <v>46007</v>
      </c>
      <c r="B11" s="0" t="inlineStr">
        <is>
          <t>NSE</t>
        </is>
      </c>
      <c r="C11" s="0" t="inlineStr">
        <is>
          <t>Buy</t>
        </is>
      </c>
      <c r="D11" s="0" t="n">
        <v>5</v>
      </c>
      <c r="E11" s="0" t="n">
        <v>651.3</v>
      </c>
      <c r="F11" s="0" t="n">
        <v>3272.8</v>
      </c>
      <c r="G11" s="0" t="inlineStr">
        <is>
          <t>CN#252609425003</t>
        </is>
      </c>
      <c r="I11" s="0" t="n">
        <v>16.3</v>
      </c>
      <c r="J11" s="0">
        <f>Index!$C$2</f>
        <v/>
      </c>
    </row>
    <row r="12">
      <c r="A12" s="85" t="n">
        <v>45993</v>
      </c>
      <c r="B12" s="0" t="inlineStr">
        <is>
          <t>BSE</t>
        </is>
      </c>
      <c r="C12" s="0" t="inlineStr">
        <is>
          <t>Buy</t>
        </is>
      </c>
      <c r="D12" s="0" t="n">
        <v>5</v>
      </c>
      <c r="E12" s="0" t="n">
        <v>678.25</v>
      </c>
      <c r="F12" s="0" t="n">
        <v>3408.2</v>
      </c>
      <c r="G12" s="0" t="inlineStr">
        <is>
          <t>CN#252608877522</t>
        </is>
      </c>
      <c r="I12" s="0" t="n">
        <v>16.95</v>
      </c>
      <c r="J12" s="0">
        <f>Index!$C$2</f>
        <v/>
      </c>
    </row>
    <row r="13">
      <c r="A13" s="85" t="n">
        <v>45989</v>
      </c>
      <c r="B13" s="0" t="inlineStr">
        <is>
          <t>NSE</t>
        </is>
      </c>
      <c r="C13" s="0" t="inlineStr">
        <is>
          <t>Buy</t>
        </is>
      </c>
      <c r="D13" s="0" t="n">
        <v>5</v>
      </c>
      <c r="E13" s="0" t="n">
        <v>678.51</v>
      </c>
      <c r="F13" s="0" t="n">
        <v>3409.5</v>
      </c>
      <c r="G13" s="0" t="inlineStr">
        <is>
          <t>CN#252608755594</t>
        </is>
      </c>
      <c r="I13" s="0" t="n">
        <v>16.95</v>
      </c>
      <c r="J13" s="0">
        <f>Index!$C$2</f>
        <v/>
      </c>
    </row>
    <row r="14">
      <c r="A14" s="85" t="n">
        <v>45982</v>
      </c>
      <c r="B14" s="0" t="inlineStr">
        <is>
          <t>BSE</t>
        </is>
      </c>
      <c r="C14" s="0" t="inlineStr">
        <is>
          <t>Buy</t>
        </is>
      </c>
      <c r="D14" s="0" t="n">
        <v>5</v>
      </c>
      <c r="E14" s="0" t="n">
        <v>675</v>
      </c>
      <c r="F14" s="0" t="n">
        <v>3391.9</v>
      </c>
      <c r="G14" s="0" t="inlineStr">
        <is>
          <t>CN#252608495287</t>
        </is>
      </c>
      <c r="I14" s="0" t="n">
        <v>16.9</v>
      </c>
      <c r="J14" s="0">
        <f>Index!$C$2</f>
        <v/>
      </c>
    </row>
    <row r="15">
      <c r="A15" s="85" t="n">
        <v>45979</v>
      </c>
      <c r="B15" s="0" t="inlineStr">
        <is>
          <t>NSE</t>
        </is>
      </c>
      <c r="C15" s="0" t="inlineStr">
        <is>
          <t>Buy</t>
        </is>
      </c>
      <c r="D15" s="0" t="n">
        <v>5</v>
      </c>
      <c r="E15" s="0" t="n">
        <v>679.65</v>
      </c>
      <c r="F15" s="0" t="n">
        <v>3415.25</v>
      </c>
      <c r="G15" s="0" t="inlineStr">
        <is>
          <t>CN#252608322011</t>
        </is>
      </c>
      <c r="I15" s="0" t="n">
        <v>17</v>
      </c>
      <c r="J15" s="0">
        <f>Index!$C$2</f>
        <v/>
      </c>
    </row>
    <row r="16">
      <c r="A16" s="85" t="n">
        <v>45978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682.26</v>
      </c>
      <c r="F16" s="0" t="n">
        <v>3428.35</v>
      </c>
      <c r="G16" s="0" t="inlineStr">
        <is>
          <t>CN#252608260909</t>
        </is>
      </c>
      <c r="I16" s="0" t="n">
        <v>17.05</v>
      </c>
      <c r="J16" s="0">
        <f>Index!$C$2</f>
        <v/>
      </c>
    </row>
    <row r="17">
      <c r="A17" s="85" t="n">
        <v>45975</v>
      </c>
      <c r="B17" s="0" t="inlineStr">
        <is>
          <t>NSE</t>
        </is>
      </c>
      <c r="C17" s="0" t="inlineStr">
        <is>
          <t>Buy</t>
        </is>
      </c>
      <c r="D17" s="0" t="n">
        <v>5</v>
      </c>
      <c r="E17" s="0" t="n">
        <v>681.3</v>
      </c>
      <c r="F17" s="0" t="n">
        <v>3423.55</v>
      </c>
      <c r="G17" s="0" t="inlineStr">
        <is>
          <t>CN#252608199734</t>
        </is>
      </c>
      <c r="I17" s="0" t="n">
        <v>17.05</v>
      </c>
      <c r="J17" s="0">
        <f>Index!$C$2</f>
        <v/>
      </c>
    </row>
    <row r="18">
      <c r="A18" s="85" t="n">
        <v>45974</v>
      </c>
      <c r="B18" s="0" t="inlineStr">
        <is>
          <t>BSE</t>
        </is>
      </c>
      <c r="C18" s="0" t="inlineStr">
        <is>
          <t>Buy</t>
        </is>
      </c>
      <c r="D18" s="0" t="n">
        <v>5</v>
      </c>
      <c r="E18" s="0" t="n">
        <v>695.05</v>
      </c>
      <c r="F18" s="0" t="n">
        <v>3492.65</v>
      </c>
      <c r="G18" s="0" t="inlineStr">
        <is>
          <t>CN#252608142538</t>
        </is>
      </c>
      <c r="I18" s="0" t="n">
        <v>17.4</v>
      </c>
      <c r="J18" s="0">
        <f>Index!$C$2</f>
        <v/>
      </c>
    </row>
    <row r="19">
      <c r="A19" s="85" t="n">
        <v>45972</v>
      </c>
      <c r="B19" s="0" t="inlineStr">
        <is>
          <t>NSE</t>
        </is>
      </c>
      <c r="C19" s="0" t="inlineStr">
        <is>
          <t>Buy</t>
        </is>
      </c>
      <c r="D19" s="0" t="n">
        <v>5</v>
      </c>
      <c r="E19" s="0" t="n">
        <v>683</v>
      </c>
      <c r="F19" s="0" t="n">
        <v>3432.1</v>
      </c>
      <c r="G19" s="0" t="inlineStr">
        <is>
          <t>CN#252608021091</t>
        </is>
      </c>
      <c r="I19" s="0" t="n">
        <v>17.1</v>
      </c>
      <c r="J19" s="0">
        <f>Index!$C$2</f>
        <v/>
      </c>
    </row>
    <row r="20">
      <c r="A20" s="85" t="n">
        <v>45961</v>
      </c>
      <c r="B20" s="0" t="inlineStr">
        <is>
          <t>BSE</t>
        </is>
      </c>
      <c r="C20" s="0" t="inlineStr">
        <is>
          <t>Buy</t>
        </is>
      </c>
      <c r="D20" s="0" t="n">
        <v>5</v>
      </c>
      <c r="E20" s="0" t="n">
        <v>697.55</v>
      </c>
      <c r="F20" s="0" t="n">
        <v>3505.2</v>
      </c>
      <c r="G20" s="0" t="inlineStr">
        <is>
          <t>CN#252607606298</t>
        </is>
      </c>
      <c r="I20" s="0" t="n">
        <v>17.45</v>
      </c>
      <c r="J20" s="0">
        <f>Index!$C$2</f>
        <v/>
      </c>
    </row>
    <row r="21">
      <c r="A21" s="85" t="n">
        <v>45957</v>
      </c>
      <c r="B21" s="0" t="inlineStr">
        <is>
          <t>NSE</t>
        </is>
      </c>
      <c r="C21" s="0" t="inlineStr">
        <is>
          <t>Buy</t>
        </is>
      </c>
      <c r="D21" s="0" t="n">
        <v>5</v>
      </c>
      <c r="E21" s="0" t="n">
        <v>694.9</v>
      </c>
      <c r="F21" s="0" t="n">
        <v>3491.85</v>
      </c>
      <c r="G21" s="0" t="inlineStr">
        <is>
          <t>CN#252607382790</t>
        </is>
      </c>
      <c r="I21" s="0" t="n">
        <v>17.35</v>
      </c>
      <c r="J21" s="0">
        <f>Index!$C$2</f>
        <v/>
      </c>
    </row>
    <row r="22">
      <c r="A22" s="38" t="n">
        <v>45950</v>
      </c>
      <c r="B22" s="39" t="inlineStr">
        <is>
          <t>BSE</t>
        </is>
      </c>
      <c r="C22" s="39" t="inlineStr">
        <is>
          <t>Buy</t>
        </is>
      </c>
      <c r="D22" s="40" t="n">
        <v>10</v>
      </c>
      <c r="E22" s="41" t="n">
        <v>685.52</v>
      </c>
      <c r="F22" s="41">
        <f>(D5*E5)</f>
        <v/>
      </c>
      <c r="G22" s="39" t="n"/>
      <c r="H22" s="40" t="n"/>
      <c r="I22" s="40" t="n"/>
      <c r="J22" s="42">
        <f>Index!$C$2</f>
        <v/>
      </c>
      <c r="K22" s="43">
        <f>IF(AND( C5="Buy", ISBLANK(W5), B5&lt;&gt;"DIV"), L5/sum(F5:I5), "")</f>
        <v/>
      </c>
      <c r="L22" s="44">
        <f>IF(AND( C5="Buy", ISBLANK(W5), B5&lt;&gt;"DIV"), (1-Index!$F$2*2)*((J5*D5)-(E5*D5)), "")</f>
        <v/>
      </c>
      <c r="M22" s="44">
        <f>IF(AND( C5="Buy", ISBLANK(W5), B5&lt;&gt;"DIV"), ((E5*D5)+L5), "")</f>
        <v/>
      </c>
      <c r="N22" s="45">
        <f>IF(AND( C5="Buy", ISBLANK(W5), B5&lt;&gt;"DIV"), D5, "")</f>
        <v/>
      </c>
      <c r="O22" s="43">
        <f>IF(AND( C5="Buy", ISBLANK(W5), B5&lt;&gt;"DIV", NOW()-A5 &lt; 365), P5/sum(F5:I5), "")</f>
        <v/>
      </c>
      <c r="P22" s="44">
        <f>IF(AND( C5="Buy", ISBLANK(W5), B5&lt;&gt;"DIV", NOW()-A5 &lt; 365), (1-Index!$F$2*2)*((J5*D5)-(E5*D5)), "")</f>
        <v/>
      </c>
      <c r="Q22" s="44">
        <f>IF(AND( C5="Buy", ISBLANK(W5), B5&lt;&gt;"DIV", NOW()-A5 &lt; 365), ((E5*D5)+P5), "")</f>
        <v/>
      </c>
      <c r="R22" s="44">
        <f>IF(AND( C5="Buy", ISBLANK(W5), B5&lt;&gt;"DIV", NOW()-A5 &lt; 365), D5, "")</f>
        <v/>
      </c>
      <c r="S22" s="46">
        <f>IF(AND( C5="Buy", ISBLANK(W5), B5&lt;&gt;"DIV", NOW()-A5 &gt; 365), T5/sum(F5:I5), "")</f>
        <v/>
      </c>
      <c r="T22" s="47">
        <f>IF(AND( C5="Buy", ISBLANK(W5), B5&lt;&gt;"DIV", NOW()-A5 &gt; 365), (1-Index!$F$2*2)*((J5*D5)-(E5*D5)), "")</f>
        <v/>
      </c>
      <c r="U22" s="47">
        <f>IF(AND( C5="Buy", ISBLANK(W5), B5&lt;&gt;"DIV", NOW()-A5 &gt; 365), ((E5*D5)+T5), "")</f>
        <v/>
      </c>
      <c r="V22" s="47">
        <f>IF(AND( C5="Buy", ISBLANK(W5), B5&lt;&gt;"DIV", NOW()-A5 &gt; 365), D5, "")</f>
        <v/>
      </c>
      <c r="W22" s="47" t="n"/>
      <c r="X22" s="47" t="n"/>
      <c r="Y22" s="46">
        <f>IF(AND( C5="Buy", W5&lt;&gt;"", AA5&lt;&gt;"", B5&lt;&gt;"DIV"), Z5/sum(F5:I5), "")</f>
        <v/>
      </c>
      <c r="Z22" s="47" t="n"/>
      <c r="AA22" s="47" t="n"/>
      <c r="AB22" s="48" t="n"/>
      <c r="AC22" s="44">
        <f>if(B5="DIV", F5,"")</f>
        <v/>
      </c>
      <c r="AD22" s="49" t="n"/>
    </row>
    <row r="23">
      <c r="A23" s="38" t="n">
        <v>45947</v>
      </c>
      <c r="B23" s="39" t="inlineStr">
        <is>
          <t>BSE</t>
        </is>
      </c>
      <c r="C23" s="39" t="inlineStr">
        <is>
          <t>Buy</t>
        </is>
      </c>
      <c r="D23" s="40" t="n">
        <v>4</v>
      </c>
      <c r="E23" s="41" t="n">
        <v>695.53</v>
      </c>
      <c r="F23" s="41">
        <f>(D6*E6)+I6</f>
        <v/>
      </c>
      <c r="G23" s="39" t="n"/>
      <c r="H23" s="40" t="n"/>
      <c r="I23" s="40" t="n"/>
      <c r="J23" s="42">
        <f>Index!$C$2</f>
        <v/>
      </c>
      <c r="K23" s="43">
        <f>IF(AND( C6="Buy", ISBLANK(W6), B6&lt;&gt;"DIV"), L6/sum(F6:I6), "")</f>
        <v/>
      </c>
      <c r="L23" s="44">
        <f>IF(AND( C6="Buy", ISBLANK(W6), B6&lt;&gt;"DIV"), (1-Index!$F$2*2)*((J6*D6)-(E6*D6)), "")</f>
        <v/>
      </c>
      <c r="M23" s="44">
        <f>IF(AND( C6="Buy", ISBLANK(W6), B6&lt;&gt;"DIV"), ((E6*D6)+L6), "")</f>
        <v/>
      </c>
      <c r="N23" s="45">
        <f>IF(AND( C6="Buy", ISBLANK(W6), B6&lt;&gt;"DIV"), D6, "")</f>
        <v/>
      </c>
      <c r="O23" s="43">
        <f>IF(AND( C6="Buy", ISBLANK(W6), B6&lt;&gt;"DIV", NOW()-A6 &lt; 365), P6/sum(F6:I6), "")</f>
        <v/>
      </c>
      <c r="P23" s="44">
        <f>IF(AND( C6="Buy", ISBLANK(W6), B6&lt;&gt;"DIV", NOW()-A6 &lt; 365), (1-Index!$F$2*2)*((J6*D6)-(E6*D6)), "")</f>
        <v/>
      </c>
      <c r="Q23" s="44">
        <f>IF(AND( C6="Buy", ISBLANK(W6), B6&lt;&gt;"DIV", NOW()-A6 &lt; 365), ((E6*D6)+P6), "")</f>
        <v/>
      </c>
      <c r="R23" s="44">
        <f>IF(AND( C6="Buy", ISBLANK(W6), B6&lt;&gt;"DIV", NOW()-A6 &lt; 365), D6, "")</f>
        <v/>
      </c>
      <c r="S23" s="46">
        <f>IF(AND( C6="Buy", ISBLANK(W6), B6&lt;&gt;"DIV", NOW()-A6 &gt; 365), T6/sum(F6:I6), "")</f>
        <v/>
      </c>
      <c r="T23" s="47">
        <f>IF(AND( C6="Buy", ISBLANK(W6), B6&lt;&gt;"DIV", NOW()-A6 &gt; 365), (1-Index!$F$2*2)*((J6*D6)-(E6*D6)), "")</f>
        <v/>
      </c>
      <c r="U23" s="47">
        <f>IF(AND( C6="Buy", ISBLANK(W6), B6&lt;&gt;"DIV", NOW()-A6 &gt; 365), ((E6*D6)+T6), "")</f>
        <v/>
      </c>
      <c r="V23" s="47">
        <f>IF(AND( C6="Buy", ISBLANK(W6), B6&lt;&gt;"DIV", NOW()-A6 &gt; 365), D6, "")</f>
        <v/>
      </c>
      <c r="W23" s="47" t="n"/>
      <c r="X23" s="47" t="n"/>
      <c r="Y23" s="46">
        <f>IF(AND( C6="Buy", W6&lt;&gt;"", AA6&lt;&gt;"", B6&lt;&gt;"DIV"), Z6/sum(F6:I6), "")</f>
        <v/>
      </c>
      <c r="Z23" s="47" t="n"/>
      <c r="AA23" s="47" t="n"/>
      <c r="AB23" s="48" t="n"/>
      <c r="AC23" s="44">
        <f>if(B6="DIV", F6,"")</f>
        <v/>
      </c>
      <c r="AD23" s="49" t="n"/>
    </row>
    <row r="24">
      <c r="A24" s="38" t="n">
        <v>45924</v>
      </c>
      <c r="B24" s="39" t="inlineStr">
        <is>
          <t>BSE</t>
        </is>
      </c>
      <c r="C24" s="39" t="inlineStr">
        <is>
          <t>Buy</t>
        </is>
      </c>
      <c r="D24" s="40" t="n">
        <v>4</v>
      </c>
      <c r="E24" s="41" t="n">
        <v>695.53</v>
      </c>
      <c r="F24" s="41">
        <f>(D7*E7)+I7</f>
        <v/>
      </c>
      <c r="G24" s="39" t="n"/>
      <c r="H24" s="40" t="n"/>
      <c r="I24" s="40" t="n"/>
      <c r="J24" s="42">
        <f>Index!$C$2</f>
        <v/>
      </c>
      <c r="K24" s="43">
        <f>IF(AND( C7="Buy", ISBLANK(W7), B7&lt;&gt;"DIV"), L7/sum(F7:I7), "")</f>
        <v/>
      </c>
      <c r="L24" s="44">
        <f>IF(AND( C7="Buy", ISBLANK(W7), B7&lt;&gt;"DIV"), (1-Index!$F$2*2)*((J7*D7)-(E7*D7)), "")</f>
        <v/>
      </c>
      <c r="M24" s="44">
        <f>IF(AND( C7="Buy", ISBLANK(W7), B7&lt;&gt;"DIV"), ((E7*D7)+L7), "")</f>
        <v/>
      </c>
      <c r="N24" s="45">
        <f>IF(AND( C7="Buy", ISBLANK(W7), B7&lt;&gt;"DIV"), D7, "")</f>
        <v/>
      </c>
      <c r="O24" s="43">
        <f>IF(AND( C7="Buy", ISBLANK(W7), B7&lt;&gt;"DIV", NOW()-A7 &lt; 365), P7/sum(F7:I7), "")</f>
        <v/>
      </c>
      <c r="P24" s="44">
        <f>IF(AND( C7="Buy", ISBLANK(W7), B7&lt;&gt;"DIV", NOW()-A7 &lt; 365), (1-Index!$F$2*2)*((J7*D7)-(E7*D7)), "")</f>
        <v/>
      </c>
      <c r="Q24" s="44">
        <f>IF(AND( C7="Buy", ISBLANK(W7), B7&lt;&gt;"DIV", NOW()-A7 &lt; 365), ((E7*D7)+P7), "")</f>
        <v/>
      </c>
      <c r="R24" s="44">
        <f>IF(AND( C7="Buy", ISBLANK(W7), B7&lt;&gt;"DIV", NOW()-A7 &lt; 365), D7, "")</f>
        <v/>
      </c>
      <c r="S24" s="46">
        <f>IF(AND( C7="Buy", ISBLANK(W7), B7&lt;&gt;"DIV", NOW()-A7 &gt; 365), T7/sum(F7:I7), "")</f>
        <v/>
      </c>
      <c r="T24" s="47">
        <f>IF(AND( C7="Buy", ISBLANK(W7), B7&lt;&gt;"DIV", NOW()-A7 &gt; 365), (1-Index!$F$2*2)*((J7*D7)-(E7*D7)), "")</f>
        <v/>
      </c>
      <c r="U24" s="47">
        <f>IF(AND( C7="Buy", ISBLANK(W7), B7&lt;&gt;"DIV", NOW()-A7 &gt; 365), ((E7*D7)+T7), "")</f>
        <v/>
      </c>
      <c r="V24" s="47">
        <f>IF(AND( C7="Buy", ISBLANK(W7), B7&lt;&gt;"DIV", NOW()-A7 &gt; 365), D7, "")</f>
        <v/>
      </c>
      <c r="W24" s="47" t="n"/>
      <c r="X24" s="47" t="n"/>
      <c r="Y24" s="46">
        <f>IF(AND( C7="Buy", W7&lt;&gt;"", AA7&lt;&gt;"", B7&lt;&gt;"DIV"), Z7/sum(F7:I7), "")</f>
        <v/>
      </c>
      <c r="Z24" s="47" t="n"/>
      <c r="AA24" s="47" t="n"/>
      <c r="AB24" s="48" t="n"/>
      <c r="AC24" s="44">
        <f>if(B7="DIV", F7,"")</f>
        <v/>
      </c>
      <c r="AD24" s="49" t="n"/>
    </row>
    <row r="25">
      <c r="A25" s="38" t="n">
        <v>45897</v>
      </c>
      <c r="B25" s="39" t="inlineStr">
        <is>
          <t>BSE</t>
        </is>
      </c>
      <c r="C25" s="39" t="inlineStr">
        <is>
          <t>Buy</t>
        </is>
      </c>
      <c r="D25" s="40" t="n">
        <v>2</v>
      </c>
      <c r="E25" s="41" t="n">
        <v>677.99</v>
      </c>
      <c r="F25" s="41" t="n">
        <v>1355.98</v>
      </c>
      <c r="G25" s="39" t="inlineStr">
        <is>
          <t>~</t>
        </is>
      </c>
      <c r="H25" s="40" t="n">
        <v>1.35</v>
      </c>
      <c r="I25" s="40" t="n">
        <v>8.23</v>
      </c>
      <c r="J25" s="42">
        <f>Index!$C$2</f>
        <v/>
      </c>
      <c r="K25" s="43">
        <f>IF(AND( C8="Buy", ISBLANK(W8), B8&lt;&gt;"DIV"), L8/sum(F8:I8), "")</f>
        <v/>
      </c>
      <c r="L25" s="44">
        <f>IF(AND( C8="Buy", ISBLANK(W8), B8&lt;&gt;"DIV"), (1-Index!$F$2*2)*((J8*D8)-(E8*D8)), "")</f>
        <v/>
      </c>
      <c r="M25" s="44">
        <f>IF(AND( C8="Buy", ISBLANK(W8), B8&lt;&gt;"DIV"), ((E8*D8)+L8), "")</f>
        <v/>
      </c>
      <c r="N25" s="45">
        <f>IF(AND( C8="Buy", ISBLANK(W8), B8&lt;&gt;"DIV"), D8, "")</f>
        <v/>
      </c>
      <c r="O25" s="43">
        <f>IF(AND( C8="Buy", ISBLANK(W8), B8&lt;&gt;"DIV", NOW()-A8 &lt; 365), P8/sum(F8:I8), "")</f>
        <v/>
      </c>
      <c r="P25" s="44">
        <f>IF(AND( C8="Buy", ISBLANK(W8), B8&lt;&gt;"DIV", NOW()-A8 &lt; 365), (1-Index!$F$2*2)*((J8*D8)-(E8*D8)), "")</f>
        <v/>
      </c>
      <c r="Q25" s="44">
        <f>IF(AND( C8="Buy", ISBLANK(W8), B8&lt;&gt;"DIV", NOW()-A8 &lt; 365), ((E8*D8)+P8), "")</f>
        <v/>
      </c>
      <c r="R25" s="44">
        <f>IF(AND( C8="Buy", ISBLANK(W8), B8&lt;&gt;"DIV", NOW()-A8 &lt; 365), D8, "")</f>
        <v/>
      </c>
      <c r="S25" s="46">
        <f>IF(AND( C8="Buy", ISBLANK(W8), B8&lt;&gt;"DIV", NOW()-A8 &gt; 365), T8/sum(F8:I8), "")</f>
        <v/>
      </c>
      <c r="T25" s="47">
        <f>IF(AND( C8="Buy", ISBLANK(W8), B8&lt;&gt;"DIV", NOW()-A8 &gt; 365), (1-Index!$F$2*2)*((J8*D8)-(E8*D8)), "")</f>
        <v/>
      </c>
      <c r="U25" s="47">
        <f>IF(AND( C8="Buy", ISBLANK(W8), B8&lt;&gt;"DIV", NOW()-A8 &gt; 365), ((E8*D8)+T8), "")</f>
        <v/>
      </c>
      <c r="V25" s="47">
        <f>IF(AND( C8="Buy", ISBLANK(W8), B8&lt;&gt;"DIV", NOW()-A8 &gt; 365), D8, "")</f>
        <v/>
      </c>
      <c r="W25" s="47" t="n"/>
      <c r="X25" s="47" t="n"/>
      <c r="Y25" s="46">
        <f>IF(AND( C8="Buy", W8&lt;&gt;"", AA8&lt;&gt;"", B8&lt;&gt;"DIV"), Z8/sum(F8:I8), "")</f>
        <v/>
      </c>
      <c r="Z25" s="47" t="n"/>
      <c r="AA25" s="47" t="n"/>
      <c r="AB25" s="48" t="n"/>
      <c r="AC25" s="44">
        <f>if(B8="DIV", F8,"")</f>
        <v/>
      </c>
      <c r="AD25" s="49" t="n"/>
    </row>
    <row r="26">
      <c r="A26" s="38" t="n">
        <v>45855</v>
      </c>
      <c r="B26" s="39" t="inlineStr">
        <is>
          <t>NSE</t>
        </is>
      </c>
      <c r="C26" s="39" t="inlineStr">
        <is>
          <t>Buy</t>
        </is>
      </c>
      <c r="D26" s="40" t="n">
        <v>3</v>
      </c>
      <c r="E26" s="41" t="n">
        <v>732.05</v>
      </c>
      <c r="F26" s="41" t="n">
        <v>2196.15</v>
      </c>
      <c r="G26" s="39" t="inlineStr">
        <is>
          <t>~</t>
        </is>
      </c>
      <c r="H26" s="40" t="n">
        <v>2.18</v>
      </c>
      <c r="I26" s="40" t="n">
        <v>13.27</v>
      </c>
      <c r="J26" s="42">
        <f>Index!$C$2</f>
        <v/>
      </c>
      <c r="K26" s="43">
        <f>IF(AND( C9="Buy", ISBLANK(W9), B9&lt;&gt;"DIV"), L9/sum(F9:I9), "")</f>
        <v/>
      </c>
      <c r="L26" s="44">
        <f>IF(AND( C9="Buy", ISBLANK(W9), B9&lt;&gt;"DIV"), (1-Index!$F$2*2)*((J9*D9)-(E9*D9)), "")</f>
        <v/>
      </c>
      <c r="M26" s="44">
        <f>IF(AND( C9="Buy", ISBLANK(W9), B9&lt;&gt;"DIV"), ((E9*D9)+L9), "")</f>
        <v/>
      </c>
      <c r="N26" s="45">
        <f>IF(AND( C9="Buy", ISBLANK(W9), B9&lt;&gt;"DIV"), D9, "")</f>
        <v/>
      </c>
      <c r="O26" s="43">
        <f>IF(AND( C9="Buy", ISBLANK(W9), B9&lt;&gt;"DIV", NOW()-A9 &lt; 365), P9/sum(F9:I9), "")</f>
        <v/>
      </c>
      <c r="P26" s="44">
        <f>IF(AND( C9="Buy", ISBLANK(W9), B9&lt;&gt;"DIV", NOW()-A9 &lt; 365), (1-Index!$F$2*2)*((J9*D9)-(E9*D9)), "")</f>
        <v/>
      </c>
      <c r="Q26" s="44">
        <f>IF(AND( C9="Buy", ISBLANK(W9), B9&lt;&gt;"DIV", NOW()-A9 &lt; 365), ((E9*D9)+P9), "")</f>
        <v/>
      </c>
      <c r="R26" s="44">
        <f>IF(AND( C9="Buy", ISBLANK(W9), B9&lt;&gt;"DIV", NOW()-A9 &lt; 365), D9, "")</f>
        <v/>
      </c>
      <c r="S26" s="46">
        <f>IF(AND( C9="Buy", ISBLANK(W9), B9&lt;&gt;"DIV", NOW()-A9 &gt; 365), T9/sum(F9:I9), "")</f>
        <v/>
      </c>
      <c r="T26" s="47">
        <f>IF(AND( C9="Buy", ISBLANK(W9), B9&lt;&gt;"DIV", NOW()-A9 &gt; 365), (1-Index!$F$2*2)*((J9*D9)-(E9*D9)), "")</f>
        <v/>
      </c>
      <c r="U26" s="47">
        <f>IF(AND( C9="Buy", ISBLANK(W9), B9&lt;&gt;"DIV", NOW()-A9 &gt; 365), ((E9*D9)+T9), "")</f>
        <v/>
      </c>
      <c r="V26" s="47">
        <f>IF(AND( C9="Buy", ISBLANK(W9), B9&lt;&gt;"DIV", NOW()-A9 &gt; 365), D9, "")</f>
        <v/>
      </c>
      <c r="W26" s="47" t="n"/>
      <c r="X26" s="47" t="n"/>
      <c r="Y26" s="46">
        <f>IF(AND( C9="Buy", W9&lt;&gt;"", AA9&lt;&gt;"", B9&lt;&gt;"DIV"), Z9/sum(F9:I9), "")</f>
        <v/>
      </c>
      <c r="Z26" s="47" t="n"/>
      <c r="AA26" s="47" t="n"/>
      <c r="AB26" s="48" t="n"/>
      <c r="AC26" s="44">
        <f>if(B9="DIV", F9,"")</f>
        <v/>
      </c>
      <c r="AD26" s="49" t="n"/>
    </row>
    <row r="27">
      <c r="A27" s="38" t="n">
        <v>45824</v>
      </c>
      <c r="B27" s="39" t="inlineStr">
        <is>
          <t>DIV</t>
        </is>
      </c>
      <c r="C27" s="39" t="inlineStr">
        <is>
          <t>Buy</t>
        </is>
      </c>
      <c r="D27" s="40" t="n">
        <v>17</v>
      </c>
      <c r="E27" s="41" t="n">
        <v>11.7</v>
      </c>
      <c r="F27" s="41" t="n">
        <v>198.9</v>
      </c>
      <c r="G27" s="39" t="inlineStr">
        <is>
          <t>Dividend of Rs.3.3500/- per share on Ex-Date: 16-JUN-2025 Annual-Dividend of Rs.8.3500/- per share on Ex-Date: 16-JUN-2025</t>
        </is>
      </c>
      <c r="H27" s="40" t="n">
        <v>0</v>
      </c>
      <c r="I27" s="40" t="n">
        <v>0</v>
      </c>
      <c r="J27" s="42">
        <f>Index!$C$2</f>
        <v/>
      </c>
      <c r="K27" s="43">
        <f>IF(AND( C10="Buy", ISBLANK(W10), B10&lt;&gt;"DIV"), L10/sum(F10:I10), "")</f>
        <v/>
      </c>
      <c r="L27" s="44">
        <f>IF(AND( C10="Buy", ISBLANK(W10), B10&lt;&gt;"DIV"), (1-Index!$F$2*2)*((J10*D10)-(E10*D10)), "")</f>
        <v/>
      </c>
      <c r="M27" s="44">
        <f>IF(AND( C10="Buy", ISBLANK(W10), B10&lt;&gt;"DIV"), ((E10*D10)+L10), "")</f>
        <v/>
      </c>
      <c r="N27" s="45">
        <f>IF(AND( C10="Buy", ISBLANK(W10), B10&lt;&gt;"DIV"), D10, "")</f>
        <v/>
      </c>
      <c r="O27" s="43">
        <f>IF(AND( C10="Buy", ISBLANK(W10), B10&lt;&gt;"DIV", NOW()-A10 &lt; 365), P10/sum(F10:I10), "")</f>
        <v/>
      </c>
      <c r="P27" s="44">
        <f>IF(AND( C10="Buy", ISBLANK(W10), B10&lt;&gt;"DIV", NOW()-A10 &lt; 365), (1-Index!$F$2*2)*((J10*D10)-(E10*D10)), "")</f>
        <v/>
      </c>
      <c r="Q27" s="44">
        <f>IF(AND( C10="Buy", ISBLANK(W10), B10&lt;&gt;"DIV", NOW()-A10 &lt; 365), ((E10*D10)+P10), "")</f>
        <v/>
      </c>
      <c r="R27" s="44">
        <f>IF(AND( C10="Buy", ISBLANK(W10), B10&lt;&gt;"DIV", NOW()-A10 &lt; 365), D10, "")</f>
        <v/>
      </c>
      <c r="S27" s="46">
        <f>IF(AND( C10="Buy", ISBLANK(W10), B10&lt;&gt;"DIV", NOW()-A10 &gt; 365), T10/sum(F10:I10), "")</f>
        <v/>
      </c>
      <c r="T27" s="47">
        <f>IF(AND( C10="Buy", ISBLANK(W10), B10&lt;&gt;"DIV", NOW()-A10 &gt; 365), (1-Index!$F$2*2)*((J10*D10)-(E10*D10)), "")</f>
        <v/>
      </c>
      <c r="U27" s="47">
        <f>IF(AND( C10="Buy", ISBLANK(W10), B10&lt;&gt;"DIV", NOW()-A10 &gt; 365), ((E10*D10)+T10), "")</f>
        <v/>
      </c>
      <c r="V27" s="47">
        <f>IF(AND( C10="Buy", ISBLANK(W10), B10&lt;&gt;"DIV", NOW()-A10 &gt; 365), D10, "")</f>
        <v/>
      </c>
      <c r="W27" s="47" t="n"/>
      <c r="X27" s="47" t="n"/>
      <c r="Y27" s="46">
        <f>IF(AND( C10="Buy", W10&lt;&gt;"", AA10&lt;&gt;"", B10&lt;&gt;"DIV"), Z10/sum(F10:I10), "")</f>
        <v/>
      </c>
      <c r="Z27" s="47" t="n"/>
      <c r="AA27" s="47" t="n"/>
      <c r="AB27" s="48" t="n"/>
      <c r="AC27" s="44">
        <f>if(B10="DIV", F10,"")</f>
        <v/>
      </c>
      <c r="AD27" s="49" t="n"/>
    </row>
    <row r="28">
      <c r="A28" s="38" t="n">
        <v>45820</v>
      </c>
      <c r="B28" s="39" t="inlineStr">
        <is>
          <t>NSE</t>
        </is>
      </c>
      <c r="C28" s="39" t="inlineStr">
        <is>
          <t>Buy</t>
        </is>
      </c>
      <c r="D28" s="40" t="n">
        <v>2</v>
      </c>
      <c r="E28" s="41" t="n">
        <v>782.35</v>
      </c>
      <c r="F28" s="41" t="n">
        <v>1564.69</v>
      </c>
      <c r="G28" s="39" t="inlineStr">
        <is>
          <t>~</t>
        </is>
      </c>
      <c r="H28" s="40" t="n">
        <v>1.55</v>
      </c>
      <c r="I28" s="40" t="n">
        <v>9.44</v>
      </c>
      <c r="J28" s="42">
        <f>Index!$C$2</f>
        <v/>
      </c>
      <c r="K28" s="43">
        <f>IF(AND( C11="Buy", ISBLANK(W11), B11&lt;&gt;"DIV"), L11/sum(F11:I11), "")</f>
        <v/>
      </c>
      <c r="L28" s="44">
        <f>IF(AND( C11="Buy", ISBLANK(W11), B11&lt;&gt;"DIV"), (1-Index!$F$2*2)*((J11*D11)-(E11*D11)), "")</f>
        <v/>
      </c>
      <c r="M28" s="44">
        <f>IF(AND( C11="Buy", ISBLANK(W11), B11&lt;&gt;"DIV"), ((E11*D11)+L11), "")</f>
        <v/>
      </c>
      <c r="N28" s="45">
        <f>IF(AND( C11="Buy", ISBLANK(W11), B11&lt;&gt;"DIV"), D11, "")</f>
        <v/>
      </c>
      <c r="O28" s="43">
        <f>IF(AND( C11="Buy", ISBLANK(W11), B11&lt;&gt;"DIV", NOW()-A11 &lt; 365), P11/sum(F11:I11), "")</f>
        <v/>
      </c>
      <c r="P28" s="44">
        <f>IF(AND( C11="Buy", ISBLANK(W11), B11&lt;&gt;"DIV", NOW()-A11 &lt; 365), (1-Index!$F$2*2)*((J11*D11)-(E11*D11)), "")</f>
        <v/>
      </c>
      <c r="Q28" s="44">
        <f>IF(AND( C11="Buy", ISBLANK(W11), B11&lt;&gt;"DIV", NOW()-A11 &lt; 365), ((E11*D11)+P11), "")</f>
        <v/>
      </c>
      <c r="R28" s="44">
        <f>IF(AND( C11="Buy", ISBLANK(W11), B11&lt;&gt;"DIV", NOW()-A11 &lt; 365), D11, "")</f>
        <v/>
      </c>
      <c r="S28" s="46">
        <f>IF(AND( C11="Buy", ISBLANK(W11), B11&lt;&gt;"DIV", NOW()-A11 &gt; 365), T11/sum(F11:I11), "")</f>
        <v/>
      </c>
      <c r="T28" s="47">
        <f>IF(AND( C11="Buy", ISBLANK(W11), B11&lt;&gt;"DIV", NOW()-A11 &gt; 365), (1-Index!$F$2*2)*((J11*D11)-(E11*D11)), "")</f>
        <v/>
      </c>
      <c r="U28" s="47">
        <f>IF(AND( C11="Buy", ISBLANK(W11), B11&lt;&gt;"DIV", NOW()-A11 &gt; 365), ((E11*D11)+T11), "")</f>
        <v/>
      </c>
      <c r="V28" s="47">
        <f>IF(AND( C11="Buy", ISBLANK(W11), B11&lt;&gt;"DIV", NOW()-A11 &gt; 365), D11, "")</f>
        <v/>
      </c>
      <c r="W28" s="47" t="n"/>
      <c r="X28" s="47" t="n"/>
      <c r="Y28" s="46">
        <f>IF(AND( C11="Buy", W11&lt;&gt;"", AA11&lt;&gt;"", B11&lt;&gt;"DIV"), Z11/sum(F11:I11), "")</f>
        <v/>
      </c>
      <c r="Z28" s="47" t="n"/>
      <c r="AA28" s="47" t="n"/>
      <c r="AB28" s="48" t="n"/>
      <c r="AC28" s="44">
        <f>if(B11="DIV", F11,"")</f>
        <v/>
      </c>
      <c r="AD28" s="49" t="n"/>
    </row>
    <row r="29">
      <c r="A29" s="38" t="n">
        <v>45820</v>
      </c>
      <c r="B29" s="39" t="inlineStr">
        <is>
          <t>NSE</t>
        </is>
      </c>
      <c r="C29" s="39" t="inlineStr">
        <is>
          <t>Buy</t>
        </is>
      </c>
      <c r="D29" s="40" t="n">
        <v>5</v>
      </c>
      <c r="E29" s="41" t="n">
        <v>782.35</v>
      </c>
      <c r="F29" s="41" t="n">
        <v>3911.75</v>
      </c>
      <c r="G29" s="39" t="inlineStr">
        <is>
          <t>~</t>
        </is>
      </c>
      <c r="H29" s="40" t="n">
        <v>3.88</v>
      </c>
      <c r="I29" s="40" t="n">
        <v>23.62</v>
      </c>
      <c r="J29" s="42">
        <f>Index!$C$2</f>
        <v/>
      </c>
      <c r="K29" s="43">
        <f>IF(AND( C12="Buy", ISBLANK(W12), B12&lt;&gt;"DIV"), L12/sum(F12:I12), "")</f>
        <v/>
      </c>
      <c r="L29" s="44">
        <f>IF(AND( C12="Buy", ISBLANK(W12), B12&lt;&gt;"DIV"), (1-Index!$F$2*2)*((J12*D12)-(E12*D12)), "")</f>
        <v/>
      </c>
      <c r="M29" s="44">
        <f>IF(AND( C12="Buy", ISBLANK(W12), B12&lt;&gt;"DIV"), ((E12*D12)+L12), "")</f>
        <v/>
      </c>
      <c r="N29" s="45">
        <f>IF(AND( C12="Buy", ISBLANK(W12), B12&lt;&gt;"DIV"), D12, "")</f>
        <v/>
      </c>
      <c r="O29" s="43">
        <f>IF(AND( C12="Buy", ISBLANK(W12), B12&lt;&gt;"DIV", NOW()-A12 &lt; 365), P12/sum(F12:I12), "")</f>
        <v/>
      </c>
      <c r="P29" s="44">
        <f>IF(AND( C12="Buy", ISBLANK(W12), B12&lt;&gt;"DIV", NOW()-A12 &lt; 365), (1-Index!$F$2*2)*((J12*D12)-(E12*D12)), "")</f>
        <v/>
      </c>
      <c r="Q29" s="44">
        <f>IF(AND( C12="Buy", ISBLANK(W12), B12&lt;&gt;"DIV", NOW()-A12 &lt; 365), ((E12*D12)+P12), "")</f>
        <v/>
      </c>
      <c r="R29" s="44">
        <f>IF(AND( C12="Buy", ISBLANK(W12), B12&lt;&gt;"DIV", NOW()-A12 &lt; 365), D12, "")</f>
        <v/>
      </c>
      <c r="S29" s="46">
        <f>IF(AND( C12="Buy", ISBLANK(W12), B12&lt;&gt;"DIV", NOW()-A12 &gt; 365), T12/sum(F12:I12), "")</f>
        <v/>
      </c>
      <c r="T29" s="47">
        <f>IF(AND( C12="Buy", ISBLANK(W12), B12&lt;&gt;"DIV", NOW()-A12 &gt; 365), (1-Index!$F$2*2)*((J12*D12)-(E12*D12)), "")</f>
        <v/>
      </c>
      <c r="U29" s="47">
        <f>IF(AND( C12="Buy", ISBLANK(W12), B12&lt;&gt;"DIV", NOW()-A12 &gt; 365), ((E12*D12)+T12), "")</f>
        <v/>
      </c>
      <c r="V29" s="47">
        <f>IF(AND( C12="Buy", ISBLANK(W12), B12&lt;&gt;"DIV", NOW()-A12 &gt; 365), D12, "")</f>
        <v/>
      </c>
      <c r="W29" s="47" t="n"/>
      <c r="X29" s="47" t="n"/>
      <c r="Y29" s="46">
        <f>IF(AND( C12="Buy", W12&lt;&gt;"", AA12&lt;&gt;"", B12&lt;&gt;"DIV"), Z12/sum(F12:I12), "")</f>
        <v/>
      </c>
      <c r="Z29" s="47" t="n"/>
      <c r="AA29" s="47" t="n"/>
      <c r="AB29" s="48" t="n"/>
      <c r="AC29" s="44">
        <f>if(B12="DIV", F12,"")</f>
        <v/>
      </c>
      <c r="AD29" s="49" t="n"/>
    </row>
    <row r="30">
      <c r="A30" s="38" t="n">
        <v>45812</v>
      </c>
      <c r="B30" s="39" t="inlineStr">
        <is>
          <t>NSE</t>
        </is>
      </c>
      <c r="C30" s="39" t="inlineStr">
        <is>
          <t>Buy</t>
        </is>
      </c>
      <c r="D30" s="40" t="n">
        <v>5</v>
      </c>
      <c r="E30" s="41" t="n">
        <v>764.99</v>
      </c>
      <c r="F30" s="41" t="n">
        <v>3824.94</v>
      </c>
      <c r="G30" s="39" t="inlineStr">
        <is>
          <t>~</t>
        </is>
      </c>
      <c r="H30" s="40" t="n">
        <v>3.82</v>
      </c>
      <c r="I30" s="40" t="n">
        <v>23.12</v>
      </c>
      <c r="J30" s="42">
        <f>Index!$C$2</f>
        <v/>
      </c>
      <c r="K30" s="47" t="n"/>
      <c r="L30" s="47">
        <f>IF(AND( C13="Buy", ISBLANK(W13), B13&lt;&gt;"DIV"), (1-Index!$F$2*2)*((J13*D13)-(E13*D13)), "")</f>
        <v/>
      </c>
      <c r="M30" s="50">
        <f>IF(AND( C13="Buy", ISBLANK(W13), B13&lt;&gt;"DIV"), ((E13*D13)+L13), "")</f>
        <v/>
      </c>
      <c r="N30" s="51">
        <f>IF(AND( C13="Buy", ISBLANK(W13), B13&lt;&gt;"DIV"), D13, "")</f>
        <v/>
      </c>
      <c r="O30" s="50" t="n"/>
      <c r="P30" s="47">
        <f>IF(AND( C13="Buy", ISBLANK(W13), B13&lt;&gt;"DIV", NOW()-A13 &lt; 365), (1-Index!$F$2*2)*((J13*D13)-(E13*D13)), "")</f>
        <v/>
      </c>
      <c r="Q30" s="50">
        <f>IF(AND( C13="Buy", ISBLANK(W13), B13&lt;&gt;"DIV", NOW()-A13 &lt; 365), ((E13*D13)+P13), "")</f>
        <v/>
      </c>
      <c r="R30" s="50">
        <f>IF(AND( C13="Buy", ISBLANK(W13), B13&lt;&gt;"DIV", NOW()-A13 &lt; 365), D13, "")</f>
        <v/>
      </c>
      <c r="S30" s="46">
        <f>IF(AND( C13="Buy", ISBLANK(W13), B13&lt;&gt;"DIV", NOW()-A13 &gt; 365), T13/sum(F13:I13), "")</f>
        <v/>
      </c>
      <c r="T30" s="47">
        <f>IF(AND( C13="Buy", ISBLANK(W13), B13&lt;&gt;"DIV", NOW()-A13 &gt; 365), (1-Index!$F$2*2)*((J13*D13)-(E13*D13)), "")</f>
        <v/>
      </c>
      <c r="U30" s="47">
        <f>IF(AND( C13="Buy", ISBLANK(W13), B13&lt;&gt;"DIV", NOW()-A13 &gt; 365), ((E13*D13)+T13), "")</f>
        <v/>
      </c>
      <c r="V30" s="47">
        <f>IF(AND( C13="Buy", ISBLANK(W13), B13&lt;&gt;"DIV", NOW()-A13 &gt; 365), D13, "")</f>
        <v/>
      </c>
      <c r="W30" s="47" t="n"/>
      <c r="X30" s="47" t="n"/>
      <c r="Y30" s="46">
        <f>IF(AND( C13="Buy", W13&lt;&gt;"", AA13&lt;&gt;"", B13&lt;&gt;"DIV"), Z13/sum(F13:I13), "")</f>
        <v/>
      </c>
      <c r="Z30" s="47" t="n"/>
      <c r="AA30" s="47" t="n"/>
      <c r="AB30" s="48" t="n"/>
      <c r="AC30" s="44">
        <f>if(B13="DIV", F13,"")</f>
        <v/>
      </c>
      <c r="AD30" s="49" t="n"/>
    </row>
    <row r="31">
      <c r="A31" s="38" t="n">
        <v>45811</v>
      </c>
      <c r="B31" s="39" t="inlineStr">
        <is>
          <t>NSE</t>
        </is>
      </c>
      <c r="C31" s="39" t="inlineStr">
        <is>
          <t>Buy</t>
        </is>
      </c>
      <c r="D31" s="40" t="n">
        <v>5</v>
      </c>
      <c r="E31" s="41" t="n">
        <v>780.5</v>
      </c>
      <c r="F31" s="41" t="n">
        <v>3902.51</v>
      </c>
      <c r="G31" s="39" t="inlineStr">
        <is>
          <t>~</t>
        </is>
      </c>
      <c r="H31" s="40" t="n">
        <v>3.88</v>
      </c>
      <c r="I31" s="40" t="n">
        <v>23.63</v>
      </c>
      <c r="J31" s="42">
        <f>Index!$C$2</f>
        <v/>
      </c>
      <c r="K31" s="47" t="n"/>
      <c r="L31" s="47">
        <f>IF(AND( C14="Buy", ISBLANK(W14), B14&lt;&gt;"DIV"), (1-Index!$F$2*2)*((J14*D14)-(E14*D14)), "")</f>
        <v/>
      </c>
      <c r="M31" s="50">
        <f>IF(AND( C14="Buy", ISBLANK(W14), B14&lt;&gt;"DIV"), ((E14*D14)+L14), "")</f>
        <v/>
      </c>
      <c r="N31" s="51">
        <f>IF(AND( C14="Buy", ISBLANK(W14), B14&lt;&gt;"DIV"), D14, "")</f>
        <v/>
      </c>
      <c r="O31" s="50" t="n"/>
      <c r="P31" s="47">
        <f>IF(AND( C14="Buy", ISBLANK(W14), B14&lt;&gt;"DIV", NOW()-A14 &lt; 365), (1-Index!$F$2*2)*((J14*D14)-(E14*D14)), "")</f>
        <v/>
      </c>
      <c r="Q31" s="50">
        <f>IF(AND( C14="Buy", ISBLANK(W14), B14&lt;&gt;"DIV", NOW()-A14 &lt; 365), ((E14*D14)+P14), "")</f>
        <v/>
      </c>
      <c r="R31" s="50">
        <f>IF(AND( C14="Buy", ISBLANK(W14), B14&lt;&gt;"DIV", NOW()-A14 &lt; 365), D14, "")</f>
        <v/>
      </c>
      <c r="S31" s="46">
        <f>IF(AND( C14="Buy", ISBLANK(W14), B14&lt;&gt;"DIV", NOW()-A14 &gt; 365), T14/sum(F14:I14), "")</f>
        <v/>
      </c>
      <c r="T31" s="47">
        <f>IF(AND( C14="Buy", ISBLANK(W14), B14&lt;&gt;"DIV", NOW()-A14 &gt; 365), (1-Index!$F$2*2)*((J14*D14)-(E14*D14)), "")</f>
        <v/>
      </c>
      <c r="U31" s="47">
        <f>IF(AND( C14="Buy", ISBLANK(W14), B14&lt;&gt;"DIV", NOW()-A14 &gt; 365), ((E14*D14)+T14), "")</f>
        <v/>
      </c>
      <c r="V31" s="47">
        <f>IF(AND( C14="Buy", ISBLANK(W14), B14&lt;&gt;"DIV", NOW()-A14 &gt; 365), D14, "")</f>
        <v/>
      </c>
      <c r="W31" s="47" t="n"/>
      <c r="X31" s="47" t="n"/>
      <c r="Y31" s="46">
        <f>IF(AND( C14="Buy", W14&lt;&gt;"", AA14&lt;&gt;"", B14&lt;&gt;"DIV"), Z14/sum(F14:I14), "")</f>
        <v/>
      </c>
      <c r="Z31" s="47" t="n"/>
      <c r="AA31" s="47" t="n"/>
      <c r="AB31" s="48" t="n"/>
      <c r="AC31" s="44">
        <f>if(B14="DIV", F14,"")</f>
        <v/>
      </c>
      <c r="AD31" s="49" t="n"/>
    </row>
    <row r="32">
      <c r="E32" s="52" t="n"/>
      <c r="F32" s="52" t="n"/>
      <c r="G32" s="53" t="n"/>
      <c r="J32" s="52" t="n"/>
      <c r="K32" s="52" t="n"/>
      <c r="L32" s="52" t="n"/>
      <c r="M32" s="55" t="n"/>
      <c r="W32" s="52" t="n"/>
      <c r="X32" s="52" t="n"/>
      <c r="Y32" s="52" t="n"/>
      <c r="Z32" s="52" t="n"/>
      <c r="AA32" s="52" t="n"/>
      <c r="AB32" s="52" t="n"/>
      <c r="AC32" s="52" t="n"/>
    </row>
    <row r="33">
      <c r="E33" s="52" t="n"/>
      <c r="F33" s="52" t="n"/>
      <c r="G33" s="53" t="n"/>
      <c r="J33" s="52" t="n"/>
      <c r="K33" s="52" t="n"/>
      <c r="L33" s="52" t="n"/>
      <c r="M33" s="55" t="n"/>
      <c r="W33" s="52" t="n"/>
      <c r="X33" s="52" t="n"/>
      <c r="Y33" s="52" t="n"/>
      <c r="Z33" s="52" t="n"/>
      <c r="AA33" s="52" t="n"/>
      <c r="AB33" s="52" t="n"/>
      <c r="AC33" s="52" t="n"/>
    </row>
    <row r="34">
      <c r="E34" s="52" t="n"/>
      <c r="F34" s="52" t="n"/>
      <c r="G34" s="53" t="n"/>
      <c r="J34" s="52" t="n"/>
      <c r="K34" s="52" t="n"/>
      <c r="L34" s="52" t="n"/>
      <c r="M34" s="55" t="n"/>
      <c r="W34" s="52" t="n"/>
      <c r="X34" s="52" t="n"/>
      <c r="Y34" s="52" t="n"/>
      <c r="Z34" s="52" t="n"/>
      <c r="AA34" s="52" t="n"/>
      <c r="AB34" s="52" t="n"/>
      <c r="AC34" s="52" t="n"/>
    </row>
    <row r="35">
      <c r="E35" s="52" t="n"/>
      <c r="F35" s="52" t="n"/>
      <c r="G35" s="53" t="n"/>
      <c r="J35" s="52" t="n"/>
      <c r="K35" s="52" t="n"/>
      <c r="L35" s="52" t="n"/>
      <c r="M35" s="55" t="n"/>
      <c r="W35" s="52" t="n"/>
      <c r="X35" s="52" t="n"/>
      <c r="Y35" s="52" t="n"/>
      <c r="Z35" s="52" t="n"/>
      <c r="AA35" s="52" t="n"/>
      <c r="AB35" s="52" t="n"/>
      <c r="AC35" s="52" t="n"/>
    </row>
    <row r="36">
      <c r="E36" s="52" t="n"/>
      <c r="F36" s="52" t="n"/>
      <c r="G36" s="53" t="n"/>
      <c r="J36" s="52" t="n"/>
      <c r="K36" s="52" t="n"/>
      <c r="L36" s="52" t="n"/>
      <c r="M36" s="55" t="n"/>
      <c r="W36" s="52" t="n"/>
      <c r="X36" s="52" t="n"/>
      <c r="Y36" s="52" t="n"/>
      <c r="Z36" s="52" t="n"/>
      <c r="AA36" s="52" t="n"/>
      <c r="AB36" s="52" t="n"/>
      <c r="AC36" s="52" t="n"/>
    </row>
    <row r="37">
      <c r="E37" s="52" t="n"/>
      <c r="F37" s="52" t="n"/>
      <c r="G37" s="53" t="n"/>
      <c r="J37" s="52" t="n"/>
      <c r="K37" s="52" t="n"/>
      <c r="L37" s="52" t="n"/>
      <c r="M37" s="55" t="n"/>
      <c r="W37" s="52" t="n"/>
      <c r="X37" s="52" t="n"/>
      <c r="Y37" s="52" t="n"/>
      <c r="Z37" s="52" t="n"/>
      <c r="AA37" s="52" t="n"/>
      <c r="AB37" s="52" t="n"/>
      <c r="AC37" s="52" t="n"/>
    </row>
    <row r="38">
      <c r="E38" s="52" t="n"/>
      <c r="F38" s="52" t="n"/>
      <c r="G38" s="53" t="n"/>
      <c r="J38" s="52" t="n"/>
      <c r="K38" s="52" t="n"/>
      <c r="L38" s="52" t="n"/>
      <c r="M38" s="55" t="n"/>
      <c r="W38" s="52" t="n"/>
      <c r="X38" s="52" t="n"/>
      <c r="Y38" s="52" t="n"/>
      <c r="Z38" s="52" t="n"/>
      <c r="AA38" s="52" t="n"/>
      <c r="AB38" s="52" t="n"/>
      <c r="AC38" s="52" t="n"/>
    </row>
    <row r="39">
      <c r="E39" s="52" t="n"/>
      <c r="F39" s="52" t="n"/>
      <c r="G39" s="53" t="n"/>
      <c r="J39" s="52" t="n"/>
      <c r="K39" s="52" t="n"/>
      <c r="L39" s="52" t="n"/>
      <c r="M39" s="55" t="n"/>
      <c r="W39" s="52" t="n"/>
      <c r="X39" s="52" t="n"/>
      <c r="Y39" s="52" t="n"/>
      <c r="Z39" s="52" t="n"/>
      <c r="AA39" s="52" t="n"/>
      <c r="AB39" s="52" t="n"/>
      <c r="AC39" s="52" t="n"/>
    </row>
    <row r="40">
      <c r="E40" s="52" t="n"/>
      <c r="F40" s="52" t="n"/>
      <c r="G40" s="53" t="n"/>
      <c r="J40" s="52" t="n"/>
      <c r="K40" s="52" t="n"/>
      <c r="L40" s="52" t="n"/>
      <c r="M40" s="55" t="n"/>
      <c r="W40" s="52" t="n"/>
      <c r="X40" s="52" t="n"/>
      <c r="Y40" s="52" t="n"/>
      <c r="Z40" s="52" t="n"/>
      <c r="AA40" s="52" t="n"/>
      <c r="AB40" s="52" t="n"/>
      <c r="AC40" s="52" t="n"/>
    </row>
    <row r="41">
      <c r="E41" s="52" t="n"/>
      <c r="F41" s="52" t="n"/>
      <c r="G41" s="53" t="n"/>
      <c r="J41" s="52" t="n"/>
      <c r="K41" s="52" t="n"/>
      <c r="L41" s="52" t="n"/>
      <c r="M41" s="55" t="n"/>
      <c r="W41" s="52" t="n"/>
      <c r="X41" s="52" t="n"/>
      <c r="Y41" s="52" t="n"/>
      <c r="Z41" s="52" t="n"/>
      <c r="AA41" s="52" t="n"/>
      <c r="AB41" s="52" t="n"/>
      <c r="AC41" s="52" t="n"/>
    </row>
    <row r="42">
      <c r="E42" s="52" t="n"/>
      <c r="F42" s="52" t="n"/>
      <c r="G42" s="53" t="n"/>
      <c r="J42" s="52" t="n"/>
      <c r="K42" s="52" t="n"/>
      <c r="L42" s="52" t="n"/>
      <c r="M42" s="55" t="n"/>
      <c r="W42" s="52" t="n"/>
      <c r="X42" s="52" t="n"/>
      <c r="Y42" s="52" t="n"/>
      <c r="Z42" s="52" t="n"/>
      <c r="AA42" s="52" t="n"/>
      <c r="AB42" s="52" t="n"/>
      <c r="AC42" s="52" t="n"/>
    </row>
    <row r="43">
      <c r="E43" s="52" t="n"/>
      <c r="F43" s="52" t="n"/>
      <c r="G43" s="53" t="n"/>
      <c r="J43" s="52" t="n"/>
      <c r="K43" s="52" t="n"/>
      <c r="L43" s="52" t="n"/>
      <c r="M43" s="55" t="n"/>
      <c r="W43" s="52" t="n"/>
      <c r="X43" s="52" t="n"/>
      <c r="Y43" s="52" t="n"/>
      <c r="Z43" s="52" t="n"/>
      <c r="AA43" s="52" t="n"/>
      <c r="AB43" s="52" t="n"/>
      <c r="AC43" s="52" t="n"/>
    </row>
    <row r="44">
      <c r="E44" s="52" t="n"/>
      <c r="F44" s="52" t="n"/>
      <c r="G44" s="53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J919" s="52" t="n"/>
      <c r="K919" s="52" t="n"/>
      <c r="L919" s="52" t="n"/>
      <c r="M919" s="55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J920" s="52" t="n"/>
      <c r="K920" s="52" t="n"/>
      <c r="L920" s="52" t="n"/>
      <c r="M920" s="55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J921" s="52" t="n"/>
      <c r="K921" s="52" t="n"/>
      <c r="L921" s="52" t="n"/>
      <c r="M921" s="55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J922" s="52" t="n"/>
      <c r="K922" s="52" t="n"/>
      <c r="L922" s="52" t="n"/>
      <c r="M922" s="55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J923" s="52" t="n"/>
      <c r="K923" s="52" t="n"/>
      <c r="L923" s="52" t="n"/>
      <c r="M923" s="55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J924" s="52" t="n"/>
      <c r="K924" s="52" t="n"/>
      <c r="L924" s="52" t="n"/>
      <c r="M924" s="55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J925" s="52" t="n"/>
      <c r="K925" s="52" t="n"/>
      <c r="L925" s="52" t="n"/>
      <c r="M925" s="55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J926" s="52" t="n"/>
      <c r="K926" s="52" t="n"/>
      <c r="L926" s="52" t="n"/>
      <c r="M926" s="55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J927" s="52" t="n"/>
      <c r="K927" s="52" t="n"/>
      <c r="L927" s="52" t="n"/>
      <c r="M927" s="55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J928" s="52" t="n"/>
      <c r="K928" s="52" t="n"/>
      <c r="L928" s="52" t="n"/>
      <c r="M928" s="55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J929" s="52" t="n"/>
      <c r="K929" s="52" t="n"/>
      <c r="L929" s="52" t="n"/>
      <c r="M929" s="55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J930" s="52" t="n"/>
      <c r="K930" s="52" t="n"/>
      <c r="L930" s="52" t="n"/>
      <c r="M930" s="55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J931" s="52" t="n"/>
      <c r="K931" s="52" t="n"/>
      <c r="L931" s="52" t="n"/>
      <c r="M931" s="55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J932" s="52" t="n"/>
      <c r="K932" s="52" t="n"/>
      <c r="L932" s="52" t="n"/>
      <c r="M932" s="55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J933" s="52" t="n"/>
      <c r="K933" s="52" t="n"/>
      <c r="L933" s="52" t="n"/>
      <c r="M933" s="55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J934" s="52" t="n"/>
      <c r="K934" s="52" t="n"/>
      <c r="L934" s="52" t="n"/>
      <c r="M934" s="55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J935" s="52" t="n"/>
      <c r="K935" s="52" t="n"/>
      <c r="L935" s="52" t="n"/>
      <c r="M935" s="55" t="n"/>
      <c r="W935" s="52" t="n"/>
      <c r="X935" s="52" t="n"/>
      <c r="Y935" s="52" t="n"/>
      <c r="Z935" s="52" t="n"/>
      <c r="AA935" s="52" t="n"/>
      <c r="AB935" s="52" t="n"/>
      <c r="AC935" s="52" t="n"/>
    </row>
    <row r="936">
      <c r="E936" s="52" t="n"/>
      <c r="F936" s="52" t="n"/>
      <c r="G936" s="53" t="n"/>
      <c r="J936" s="52" t="n"/>
      <c r="K936" s="52" t="n"/>
      <c r="L936" s="52" t="n"/>
      <c r="M936" s="55" t="n"/>
      <c r="W936" s="52" t="n"/>
      <c r="X936" s="52" t="n"/>
      <c r="Y936" s="52" t="n"/>
      <c r="Z936" s="52" t="n"/>
      <c r="AA936" s="52" t="n"/>
      <c r="AB936" s="52" t="n"/>
      <c r="AC936" s="52" t="n"/>
    </row>
    <row r="937">
      <c r="E937" s="52" t="n"/>
      <c r="F937" s="52" t="n"/>
      <c r="G937" s="53" t="n"/>
      <c r="J937" s="52" t="n"/>
      <c r="K937" s="52" t="n"/>
      <c r="L937" s="52" t="n"/>
      <c r="M937" s="55" t="n"/>
      <c r="W937" s="52" t="n"/>
      <c r="X937" s="52" t="n"/>
      <c r="Y937" s="52" t="n"/>
      <c r="Z937" s="52" t="n"/>
      <c r="AA937" s="52" t="n"/>
      <c r="AB937" s="52" t="n"/>
      <c r="AC937" s="52" t="n"/>
    </row>
    <row r="938">
      <c r="E938" s="52" t="n"/>
      <c r="F938" s="52" t="n"/>
      <c r="G938" s="53" t="n"/>
      <c r="J938" s="52" t="n"/>
      <c r="K938" s="52" t="n"/>
      <c r="L938" s="52" t="n"/>
      <c r="M938" s="55" t="n"/>
      <c r="W938" s="52" t="n"/>
      <c r="X938" s="52" t="n"/>
      <c r="Y938" s="52" t="n"/>
      <c r="Z938" s="52" t="n"/>
      <c r="AA938" s="52" t="n"/>
      <c r="AB938" s="52" t="n"/>
      <c r="AC938" s="52" t="n"/>
    </row>
    <row r="939">
      <c r="E939" s="52" t="n"/>
      <c r="F939" s="52" t="n"/>
      <c r="G939" s="53" t="n"/>
      <c r="J939" s="52" t="n"/>
      <c r="K939" s="52" t="n"/>
      <c r="L939" s="52" t="n"/>
      <c r="M939" s="55" t="n"/>
      <c r="W939" s="52" t="n"/>
      <c r="X939" s="52" t="n"/>
      <c r="Y939" s="52" t="n"/>
      <c r="Z939" s="52" t="n"/>
      <c r="AA939" s="52" t="n"/>
      <c r="AB939" s="52" t="n"/>
      <c r="AC939" s="52" t="n"/>
    </row>
    <row r="940">
      <c r="E940" s="52" t="n"/>
      <c r="F940" s="52" t="n"/>
      <c r="G940" s="53" t="n"/>
      <c r="J940" s="52" t="n"/>
      <c r="K940" s="52" t="n"/>
      <c r="L940" s="52" t="n"/>
      <c r="M940" s="55" t="n"/>
      <c r="W940" s="52" t="n"/>
      <c r="X940" s="52" t="n"/>
      <c r="Y940" s="52" t="n"/>
      <c r="Z940" s="52" t="n"/>
      <c r="AA940" s="52" t="n"/>
      <c r="AB940" s="52" t="n"/>
      <c r="AC940" s="52" t="n"/>
    </row>
    <row r="941">
      <c r="E941" s="52" t="n"/>
      <c r="F941" s="52" t="n"/>
      <c r="G941" s="53" t="n"/>
      <c r="J941" s="52" t="n"/>
      <c r="K941" s="52" t="n"/>
      <c r="L941" s="52" t="n"/>
      <c r="M941" s="55" t="n"/>
      <c r="W941" s="52" t="n"/>
      <c r="X941" s="52" t="n"/>
      <c r="Y941" s="52" t="n"/>
      <c r="Z941" s="52" t="n"/>
      <c r="AA941" s="52" t="n"/>
      <c r="AB941" s="52" t="n"/>
      <c r="AC941" s="52" t="n"/>
    </row>
    <row r="942">
      <c r="E942" s="52" t="n"/>
      <c r="F942" s="52" t="n"/>
      <c r="G942" s="53" t="n"/>
      <c r="J942" s="52" t="n"/>
      <c r="K942" s="52" t="n"/>
      <c r="L942" s="52" t="n"/>
      <c r="M942" s="55" t="n"/>
      <c r="W942" s="52" t="n"/>
      <c r="X942" s="52" t="n"/>
      <c r="Y942" s="52" t="n"/>
      <c r="Z942" s="52" t="n"/>
      <c r="AA942" s="52" t="n"/>
      <c r="AB942" s="52" t="n"/>
      <c r="AC942" s="52" t="n"/>
    </row>
    <row r="943">
      <c r="E943" s="52" t="n"/>
      <c r="F943" s="52" t="n"/>
      <c r="G943" s="53" t="n"/>
      <c r="J943" s="52" t="n"/>
      <c r="K943" s="52" t="n"/>
      <c r="L943" s="52" t="n"/>
      <c r="M943" s="55" t="n"/>
      <c r="W943" s="52" t="n"/>
      <c r="X943" s="52" t="n"/>
      <c r="Y943" s="52" t="n"/>
      <c r="Z943" s="52" t="n"/>
      <c r="AA943" s="52" t="n"/>
      <c r="AB943" s="52" t="n"/>
      <c r="AC943" s="52" t="n"/>
    </row>
    <row r="944">
      <c r="E944" s="52" t="n"/>
      <c r="F944" s="52" t="n"/>
      <c r="G944" s="53" t="n"/>
      <c r="J944" s="52" t="n"/>
      <c r="K944" s="52" t="n"/>
      <c r="L944" s="52" t="n"/>
      <c r="M944" s="55" t="n"/>
      <c r="W944" s="52" t="n"/>
      <c r="X944" s="52" t="n"/>
      <c r="Y944" s="52" t="n"/>
      <c r="Z944" s="52" t="n"/>
      <c r="AA944" s="52" t="n"/>
      <c r="AB944" s="52" t="n"/>
      <c r="AC944" s="52" t="n"/>
    </row>
    <row r="945">
      <c r="E945" s="52" t="n"/>
      <c r="F945" s="52" t="n"/>
      <c r="G945" s="53" t="n"/>
      <c r="J945" s="52" t="n"/>
      <c r="K945" s="52" t="n"/>
      <c r="L945" s="52" t="n"/>
      <c r="M945" s="55" t="n"/>
      <c r="W945" s="52" t="n"/>
      <c r="X945" s="52" t="n"/>
      <c r="Y945" s="52" t="n"/>
      <c r="Z945" s="52" t="n"/>
      <c r="AA945" s="52" t="n"/>
      <c r="AB945" s="52" t="n"/>
      <c r="AC945" s="52" t="n"/>
    </row>
    <row r="946">
      <c r="E946" s="52" t="n"/>
      <c r="F946" s="52" t="n"/>
      <c r="G946" s="53" t="n"/>
      <c r="J946" s="52" t="n"/>
      <c r="K946" s="52" t="n"/>
      <c r="L946" s="52" t="n"/>
      <c r="M946" s="55" t="n"/>
      <c r="W946" s="52" t="n"/>
      <c r="X946" s="52" t="n"/>
      <c r="Y946" s="52" t="n"/>
      <c r="Z946" s="52" t="n"/>
      <c r="AA946" s="52" t="n"/>
      <c r="AB946" s="52" t="n"/>
      <c r="AC946" s="52" t="n"/>
    </row>
    <row r="947">
      <c r="E947" s="52" t="n"/>
      <c r="F947" s="52" t="n"/>
      <c r="G947" s="53" t="n"/>
      <c r="J947" s="52" t="n"/>
      <c r="K947" s="52" t="n"/>
      <c r="L947" s="52" t="n"/>
      <c r="M947" s="55" t="n"/>
      <c r="W947" s="52" t="n"/>
      <c r="X947" s="52" t="n"/>
      <c r="Y947" s="52" t="n"/>
      <c r="Z947" s="52" t="n"/>
      <c r="AA947" s="52" t="n"/>
      <c r="AB947" s="52" t="n"/>
      <c r="AC947" s="52" t="n"/>
    </row>
    <row r="948">
      <c r="E948" s="52" t="n"/>
      <c r="F948" s="52" t="n"/>
      <c r="G948" s="53" t="n"/>
      <c r="J948" s="52" t="n"/>
      <c r="K948" s="52" t="n"/>
      <c r="L948" s="52" t="n"/>
      <c r="M948" s="55" t="n"/>
      <c r="W948" s="52" t="n"/>
      <c r="X948" s="52" t="n"/>
      <c r="Y948" s="52" t="n"/>
      <c r="Z948" s="52" t="n"/>
      <c r="AA948" s="52" t="n"/>
      <c r="AB948" s="52" t="n"/>
      <c r="AC948" s="52" t="n"/>
    </row>
    <row r="949">
      <c r="E949" s="52" t="n"/>
      <c r="F949" s="52" t="n"/>
      <c r="G949" s="53" t="n"/>
      <c r="J949" s="52" t="n"/>
      <c r="K949" s="52" t="n"/>
      <c r="L949" s="52" t="n"/>
      <c r="M949" s="55" t="n"/>
      <c r="W949" s="52" t="n"/>
      <c r="X949" s="52" t="n"/>
      <c r="Y949" s="52" t="n"/>
      <c r="Z949" s="52" t="n"/>
      <c r="AA949" s="52" t="n"/>
      <c r="AB949" s="52" t="n"/>
      <c r="AC949" s="52" t="n"/>
    </row>
    <row r="950">
      <c r="E950" s="52" t="n"/>
      <c r="F950" s="52" t="n"/>
      <c r="G950" s="53" t="n"/>
      <c r="J950" s="52" t="n"/>
      <c r="K950" s="52" t="n"/>
      <c r="L950" s="52" t="n"/>
      <c r="M950" s="55" t="n"/>
      <c r="W950" s="52" t="n"/>
      <c r="X950" s="52" t="n"/>
      <c r="Y950" s="52" t="n"/>
      <c r="Z950" s="52" t="n"/>
      <c r="AA950" s="52" t="n"/>
      <c r="AB950" s="52" t="n"/>
      <c r="AC950" s="52" t="n"/>
    </row>
    <row r="951">
      <c r="E951" s="52" t="n"/>
      <c r="F951" s="52" t="n"/>
      <c r="G951" s="53" t="n"/>
      <c r="J951" s="52" t="n"/>
      <c r="K951" s="52" t="n"/>
      <c r="L951" s="52" t="n"/>
      <c r="M951" s="55" t="n"/>
      <c r="W951" s="52" t="n"/>
      <c r="X951" s="52" t="n"/>
      <c r="Y951" s="52" t="n"/>
      <c r="Z951" s="52" t="n"/>
      <c r="AA951" s="52" t="n"/>
      <c r="AB951" s="52" t="n"/>
      <c r="AC951" s="52" t="n"/>
    </row>
    <row r="952">
      <c r="E952" s="52" t="n"/>
      <c r="F952" s="52" t="n"/>
      <c r="G952" s="53" t="n"/>
      <c r="J952" s="52" t="n"/>
      <c r="K952" s="52" t="n"/>
      <c r="L952" s="52" t="n"/>
      <c r="M952" s="55" t="n"/>
      <c r="W952" s="52" t="n"/>
      <c r="X952" s="52" t="n"/>
      <c r="Y952" s="52" t="n"/>
      <c r="Z952" s="52" t="n"/>
      <c r="AA952" s="52" t="n"/>
      <c r="AB952" s="52" t="n"/>
      <c r="AC952" s="52" t="n"/>
    </row>
    <row r="953">
      <c r="E953" s="52" t="n"/>
      <c r="F953" s="52" t="n"/>
      <c r="G953" s="53" t="n"/>
      <c r="J953" s="52" t="n"/>
      <c r="K953" s="52" t="n"/>
      <c r="L953" s="52" t="n"/>
      <c r="M953" s="55" t="n"/>
      <c r="W953" s="52" t="n"/>
      <c r="X953" s="52" t="n"/>
      <c r="Y953" s="52" t="n"/>
      <c r="Z953" s="52" t="n"/>
      <c r="AA953" s="52" t="n"/>
      <c r="AB953" s="52" t="n"/>
      <c r="AC953" s="52" t="n"/>
    </row>
    <row r="954">
      <c r="E954" s="52" t="n"/>
      <c r="F954" s="52" t="n"/>
      <c r="G954" s="53" t="n"/>
      <c r="J954" s="52" t="n"/>
      <c r="K954" s="52" t="n"/>
      <c r="L954" s="52" t="n"/>
      <c r="M954" s="55" t="n"/>
      <c r="W954" s="52" t="n"/>
      <c r="X954" s="52" t="n"/>
      <c r="Y954" s="52" t="n"/>
      <c r="Z954" s="52" t="n"/>
      <c r="AA954" s="52" t="n"/>
      <c r="AB954" s="52" t="n"/>
      <c r="AC954" s="52" t="n"/>
    </row>
    <row r="955">
      <c r="E955" s="52" t="n"/>
      <c r="F955" s="52" t="n"/>
      <c r="G955" s="53" t="n"/>
      <c r="J955" s="52" t="n"/>
      <c r="K955" s="52" t="n"/>
      <c r="L955" s="52" t="n"/>
      <c r="M955" s="55" t="n"/>
      <c r="W955" s="52" t="n"/>
      <c r="X955" s="52" t="n"/>
      <c r="Y955" s="52" t="n"/>
      <c r="Z955" s="52" t="n"/>
      <c r="AA955" s="52" t="n"/>
      <c r="AB955" s="52" t="n"/>
      <c r="AC955" s="52" t="n"/>
    </row>
    <row r="956">
      <c r="E956" s="52" t="n"/>
      <c r="F956" s="52" t="n"/>
      <c r="G956" s="53" t="n"/>
      <c r="J956" s="52" t="n"/>
      <c r="K956" s="52" t="n"/>
      <c r="L956" s="52" t="n"/>
      <c r="M956" s="55" t="n"/>
      <c r="W956" s="52" t="n"/>
      <c r="X956" s="52" t="n"/>
      <c r="Y956" s="52" t="n"/>
      <c r="Z956" s="52" t="n"/>
      <c r="AA956" s="52" t="n"/>
      <c r="AB956" s="52" t="n"/>
      <c r="AC956" s="52" t="n"/>
    </row>
    <row r="957">
      <c r="E957" s="52" t="n"/>
      <c r="F957" s="52" t="n"/>
      <c r="G957" s="53" t="n"/>
      <c r="J957" s="52" t="n"/>
      <c r="K957" s="52" t="n"/>
      <c r="L957" s="52" t="n"/>
      <c r="M957" s="55" t="n"/>
      <c r="W957" s="52" t="n"/>
      <c r="X957" s="52" t="n"/>
      <c r="Y957" s="52" t="n"/>
      <c r="Z957" s="52" t="n"/>
      <c r="AA957" s="52" t="n"/>
      <c r="AB957" s="52" t="n"/>
      <c r="AC957" s="52" t="n"/>
    </row>
    <row r="958">
      <c r="E958" s="52" t="n"/>
      <c r="F958" s="52" t="n"/>
      <c r="G958" s="53" t="n"/>
      <c r="J958" s="52" t="n"/>
      <c r="K958" s="52" t="n"/>
      <c r="L958" s="52" t="n"/>
      <c r="M958" s="55" t="n"/>
      <c r="W958" s="52" t="n"/>
      <c r="X958" s="52" t="n"/>
      <c r="Y958" s="52" t="n"/>
      <c r="Z958" s="52" t="n"/>
      <c r="AA958" s="52" t="n"/>
      <c r="AB958" s="52" t="n"/>
      <c r="AC958" s="52" t="n"/>
    </row>
    <row r="959">
      <c r="E959" s="52" t="n"/>
      <c r="F959" s="52" t="n"/>
      <c r="G959" s="53" t="n"/>
      <c r="J959" s="52" t="n"/>
      <c r="K959" s="52" t="n"/>
      <c r="L959" s="52" t="n"/>
      <c r="M959" s="55" t="n"/>
      <c r="W959" s="52" t="n"/>
      <c r="X959" s="52" t="n"/>
      <c r="Y959" s="52" t="n"/>
      <c r="Z959" s="52" t="n"/>
      <c r="AA959" s="52" t="n"/>
      <c r="AB959" s="52" t="n"/>
      <c r="AC959" s="52" t="n"/>
    </row>
    <row r="960">
      <c r="E960" s="52" t="n"/>
      <c r="F960" s="52" t="n"/>
      <c r="G960" s="53" t="n"/>
      <c r="J960" s="52" t="n"/>
      <c r="K960" s="52" t="n"/>
      <c r="L960" s="52" t="n"/>
      <c r="M960" s="55" t="n"/>
      <c r="W960" s="52" t="n"/>
      <c r="X960" s="52" t="n"/>
      <c r="Y960" s="52" t="n"/>
      <c r="Z960" s="52" t="n"/>
      <c r="AA960" s="52" t="n"/>
      <c r="AB960" s="52" t="n"/>
      <c r="AC960" s="52" t="n"/>
    </row>
    <row r="961">
      <c r="E961" s="52" t="n"/>
      <c r="F961" s="52" t="n"/>
      <c r="G961" s="53" t="n"/>
      <c r="J961" s="52" t="n"/>
      <c r="K961" s="52" t="n"/>
      <c r="L961" s="52" t="n"/>
      <c r="M961" s="55" t="n"/>
      <c r="W961" s="52" t="n"/>
      <c r="X961" s="52" t="n"/>
      <c r="Y961" s="52" t="n"/>
      <c r="Z961" s="52" t="n"/>
      <c r="AA961" s="52" t="n"/>
      <c r="AB961" s="52" t="n"/>
      <c r="AC961" s="52" t="n"/>
    </row>
    <row r="962">
      <c r="E962" s="52" t="n"/>
      <c r="F962" s="52" t="n"/>
      <c r="G962" s="53" t="n"/>
      <c r="J962" s="52" t="n"/>
      <c r="K962" s="52" t="n"/>
      <c r="L962" s="52" t="n"/>
      <c r="M962" s="55" t="n"/>
      <c r="W962" s="52" t="n"/>
      <c r="X962" s="52" t="n"/>
      <c r="Y962" s="52" t="n"/>
      <c r="Z962" s="52" t="n"/>
      <c r="AA962" s="52" t="n"/>
      <c r="AB962" s="52" t="n"/>
      <c r="AC962" s="52" t="n"/>
    </row>
    <row r="963">
      <c r="E963" s="52" t="n"/>
      <c r="F963" s="52" t="n"/>
      <c r="G963" s="53" t="n"/>
      <c r="J963" s="52" t="n"/>
      <c r="K963" s="52" t="n"/>
      <c r="L963" s="52" t="n"/>
      <c r="M963" s="55" t="n"/>
      <c r="W963" s="52" t="n"/>
      <c r="X963" s="52" t="n"/>
      <c r="Y963" s="52" t="n"/>
      <c r="Z963" s="52" t="n"/>
      <c r="AA963" s="52" t="n"/>
      <c r="AB963" s="52" t="n"/>
      <c r="AC963" s="52" t="n"/>
    </row>
    <row r="964">
      <c r="E964" s="52" t="n"/>
      <c r="F964" s="52" t="n"/>
      <c r="G964" s="53" t="n"/>
      <c r="J964" s="52" t="n"/>
      <c r="K964" s="52" t="n"/>
      <c r="L964" s="52" t="n"/>
      <c r="M964" s="55" t="n"/>
      <c r="W964" s="52" t="n"/>
      <c r="X964" s="52" t="n"/>
      <c r="Y964" s="52" t="n"/>
      <c r="Z964" s="52" t="n"/>
      <c r="AA964" s="52" t="n"/>
      <c r="AB964" s="52" t="n"/>
      <c r="AC964" s="52" t="n"/>
    </row>
    <row r="965">
      <c r="E965" s="52" t="n"/>
      <c r="F965" s="52" t="n"/>
      <c r="G965" s="53" t="n"/>
      <c r="J965" s="52" t="n"/>
      <c r="K965" s="52" t="n"/>
      <c r="L965" s="52" t="n"/>
      <c r="M965" s="55" t="n"/>
      <c r="W965" s="52" t="n"/>
      <c r="X965" s="52" t="n"/>
      <c r="Y965" s="52" t="n"/>
      <c r="Z965" s="52" t="n"/>
      <c r="AA965" s="52" t="n"/>
      <c r="AB965" s="52" t="n"/>
      <c r="AC965" s="52" t="n"/>
    </row>
    <row r="966">
      <c r="E966" s="52" t="n"/>
      <c r="F966" s="52" t="n"/>
      <c r="G966" s="53" t="n"/>
      <c r="J966" s="52" t="n"/>
      <c r="K966" s="52" t="n"/>
      <c r="L966" s="52" t="n"/>
      <c r="M966" s="55" t="n"/>
      <c r="W966" s="52" t="n"/>
      <c r="X966" s="52" t="n"/>
      <c r="Y966" s="52" t="n"/>
      <c r="Z966" s="52" t="n"/>
      <c r="AA966" s="52" t="n"/>
      <c r="AB966" s="52" t="n"/>
      <c r="AC966" s="52" t="n"/>
    </row>
    <row r="967">
      <c r="E967" s="52" t="n"/>
      <c r="F967" s="52" t="n"/>
      <c r="G967" s="53" t="n"/>
      <c r="J967" s="52" t="n"/>
      <c r="K967" s="52" t="n"/>
      <c r="L967" s="52" t="n"/>
      <c r="W967" s="52" t="n"/>
      <c r="X967" s="52" t="n"/>
      <c r="Y967" s="52" t="n"/>
      <c r="Z967" s="52" t="n"/>
      <c r="AA967" s="52" t="n"/>
      <c r="AB967" s="52" t="n"/>
      <c r="AC967" s="52" t="n"/>
    </row>
    <row r="968">
      <c r="E968" s="52" t="n"/>
      <c r="F968" s="52" t="n"/>
      <c r="G968" s="53" t="n"/>
      <c r="J968" s="52" t="n"/>
      <c r="K968" s="52" t="n"/>
      <c r="L968" s="52" t="n"/>
      <c r="W968" s="52" t="n"/>
      <c r="X968" s="52" t="n"/>
      <c r="Y968" s="52" t="n"/>
      <c r="Z968" s="52" t="n"/>
      <c r="AA968" s="52" t="n"/>
      <c r="AB968" s="52" t="n"/>
      <c r="AC968" s="52" t="n"/>
    </row>
    <row r="969">
      <c r="E969" s="52" t="n"/>
      <c r="F969" s="52" t="n"/>
      <c r="G969" s="53" t="n"/>
      <c r="J969" s="52" t="n"/>
      <c r="K969" s="52" t="n"/>
      <c r="L969" s="52" t="n"/>
      <c r="W969" s="52" t="n"/>
      <c r="X969" s="52" t="n"/>
      <c r="Y969" s="52" t="n"/>
      <c r="Z969" s="52" t="n"/>
      <c r="AA969" s="52" t="n"/>
      <c r="AB969" s="52" t="n"/>
      <c r="AC969" s="52" t="n"/>
    </row>
    <row r="970">
      <c r="E970" s="52" t="n"/>
      <c r="F970" s="52" t="n"/>
      <c r="G970" s="53" t="n"/>
      <c r="J970" s="52" t="n"/>
      <c r="K970" s="52" t="n"/>
      <c r="L970" s="52" t="n"/>
      <c r="W970" s="52" t="n"/>
      <c r="X970" s="52" t="n"/>
      <c r="Y970" s="52" t="n"/>
      <c r="Z970" s="52" t="n"/>
      <c r="AA970" s="52" t="n"/>
      <c r="AB970" s="52" t="n"/>
      <c r="AC970" s="52" t="n"/>
    </row>
    <row r="971">
      <c r="E971" s="52" t="n"/>
      <c r="F971" s="52" t="n"/>
      <c r="G971" s="53" t="n"/>
      <c r="J971" s="52" t="n"/>
      <c r="K971" s="52" t="n"/>
      <c r="L971" s="52" t="n"/>
      <c r="W971" s="52" t="n"/>
      <c r="X971" s="52" t="n"/>
      <c r="Y971" s="52" t="n"/>
      <c r="Z971" s="52" t="n"/>
      <c r="AA971" s="52" t="n"/>
      <c r="AB971" s="52" t="n"/>
      <c r="AC971" s="52" t="n"/>
    </row>
    <row r="972">
      <c r="E972" s="52" t="n"/>
      <c r="F972" s="52" t="n"/>
      <c r="G972" s="53" t="n"/>
      <c r="J972" s="52" t="n"/>
      <c r="K972" s="52" t="n"/>
      <c r="L972" s="52" t="n"/>
      <c r="W972" s="52" t="n"/>
      <c r="X972" s="52" t="n"/>
      <c r="Y972" s="52" t="n"/>
      <c r="Z972" s="52" t="n"/>
      <c r="AA972" s="52" t="n"/>
      <c r="AB972" s="52" t="n"/>
      <c r="AC972" s="52" t="n"/>
    </row>
    <row r="973">
      <c r="E973" s="52" t="n"/>
      <c r="F973" s="52" t="n"/>
      <c r="G973" s="53" t="n"/>
      <c r="J973" s="52" t="n"/>
      <c r="K973" s="52" t="n"/>
      <c r="L973" s="52" t="n"/>
      <c r="W973" s="52" t="n"/>
      <c r="X973" s="52" t="n"/>
      <c r="Y973" s="52" t="n"/>
      <c r="Z973" s="52" t="n"/>
      <c r="AA973" s="52" t="n"/>
      <c r="AB973" s="52" t="n"/>
      <c r="AC973" s="52" t="n"/>
    </row>
    <row r="974">
      <c r="E974" s="52" t="n"/>
      <c r="F974" s="52" t="n"/>
      <c r="G974" s="53" t="n"/>
      <c r="J974" s="52" t="n"/>
      <c r="K974" s="52" t="n"/>
      <c r="L974" s="52" t="n"/>
      <c r="W974" s="52" t="n"/>
      <c r="X974" s="52" t="n"/>
      <c r="Y974" s="52" t="n"/>
      <c r="Z974" s="52" t="n"/>
      <c r="AA974" s="52" t="n"/>
      <c r="AB974" s="52" t="n"/>
      <c r="AC974" s="52" t="n"/>
    </row>
    <row r="975">
      <c r="E975" s="52" t="n"/>
      <c r="F975" s="52" t="n"/>
      <c r="G975" s="53" t="n"/>
      <c r="J975" s="52" t="n"/>
      <c r="K975" s="52" t="n"/>
      <c r="L975" s="52" t="n"/>
      <c r="W975" s="52" t="n"/>
      <c r="X975" s="52" t="n"/>
      <c r="Y975" s="52" t="n"/>
      <c r="Z975" s="52" t="n"/>
      <c r="AA975" s="52" t="n"/>
      <c r="AB975" s="52" t="n"/>
      <c r="AC975" s="52" t="n"/>
    </row>
    <row r="976">
      <c r="E976" s="52" t="n"/>
      <c r="F976" s="52" t="n"/>
      <c r="G976" s="53" t="n"/>
      <c r="J976" s="52" t="n"/>
      <c r="K976" s="52" t="n"/>
      <c r="L976" s="52" t="n"/>
      <c r="W976" s="52" t="n"/>
      <c r="X976" s="52" t="n"/>
      <c r="Y976" s="52" t="n"/>
      <c r="Z976" s="52" t="n"/>
      <c r="AA976" s="52" t="n"/>
      <c r="AB976" s="52" t="n"/>
      <c r="AC976" s="52" t="n"/>
    </row>
    <row r="977">
      <c r="E977" s="52" t="n"/>
      <c r="F977" s="52" t="n"/>
      <c r="G977" s="53" t="n"/>
      <c r="J977" s="52" t="n"/>
      <c r="K977" s="52" t="n"/>
      <c r="L977" s="52" t="n"/>
      <c r="W977" s="52" t="n"/>
      <c r="X977" s="52" t="n"/>
      <c r="Y977" s="52" t="n"/>
      <c r="Z977" s="52" t="n"/>
      <c r="AA977" s="52" t="n"/>
      <c r="AB977" s="52" t="n"/>
      <c r="AC977" s="52" t="n"/>
    </row>
    <row r="978">
      <c r="E978" s="52" t="n"/>
      <c r="F978" s="52" t="n"/>
      <c r="G978" s="53" t="n"/>
      <c r="J978" s="52" t="n"/>
      <c r="K978" s="52" t="n"/>
      <c r="L978" s="52" t="n"/>
      <c r="W978" s="52" t="n"/>
      <c r="X978" s="52" t="n"/>
      <c r="Y978" s="52" t="n"/>
      <c r="Z978" s="52" t="n"/>
      <c r="AA978" s="52" t="n"/>
      <c r="AB978" s="52" t="n"/>
      <c r="AC978" s="52" t="n"/>
    </row>
    <row r="979">
      <c r="E979" s="52" t="n"/>
      <c r="F979" s="52" t="n"/>
      <c r="G979" s="53" t="n"/>
      <c r="J979" s="52" t="n"/>
      <c r="K979" s="52" t="n"/>
      <c r="L979" s="52" t="n"/>
      <c r="W979" s="52" t="n"/>
      <c r="X979" s="52" t="n"/>
      <c r="Y979" s="52" t="n"/>
      <c r="Z979" s="52" t="n"/>
      <c r="AA979" s="52" t="n"/>
      <c r="AB979" s="52" t="n"/>
      <c r="AC979" s="52" t="n"/>
    </row>
    <row r="980">
      <c r="E980" s="52" t="n"/>
      <c r="F980" s="52" t="n"/>
      <c r="G980" s="53" t="n"/>
      <c r="J980" s="52" t="n"/>
      <c r="K980" s="52" t="n"/>
      <c r="L980" s="52" t="n"/>
      <c r="W980" s="52" t="n"/>
      <c r="X980" s="52" t="n"/>
      <c r="Y980" s="52" t="n"/>
      <c r="Z980" s="52" t="n"/>
      <c r="AA980" s="52" t="n"/>
      <c r="AB980" s="52" t="n"/>
      <c r="AC980" s="52" t="n"/>
    </row>
    <row r="981">
      <c r="E981" s="52" t="n"/>
      <c r="F981" s="52" t="n"/>
      <c r="G981" s="53" t="n"/>
      <c r="J981" s="52" t="n"/>
      <c r="K981" s="52" t="n"/>
      <c r="L981" s="52" t="n"/>
      <c r="W981" s="52" t="n"/>
      <c r="X981" s="52" t="n"/>
      <c r="Y981" s="52" t="n"/>
      <c r="Z981" s="52" t="n"/>
      <c r="AA981" s="52" t="n"/>
      <c r="AB981" s="52" t="n"/>
      <c r="AC981" s="52" t="n"/>
    </row>
    <row r="982">
      <c r="E982" s="52" t="n"/>
      <c r="F982" s="52" t="n"/>
      <c r="G982" s="53" t="n"/>
      <c r="J982" s="52" t="n"/>
      <c r="K982" s="52" t="n"/>
      <c r="L982" s="52" t="n"/>
      <c r="W982" s="52" t="n"/>
      <c r="X982" s="52" t="n"/>
      <c r="Y982" s="52" t="n"/>
      <c r="Z982" s="52" t="n"/>
      <c r="AA982" s="52" t="n"/>
      <c r="AB982" s="52" t="n"/>
      <c r="AC982" s="52" t="n"/>
    </row>
    <row r="983">
      <c r="E983" s="52" t="n"/>
      <c r="F983" s="52" t="n"/>
      <c r="G983" s="53" t="n"/>
      <c r="J983" s="52" t="n"/>
      <c r="K983" s="52" t="n"/>
      <c r="L983" s="52" t="n"/>
      <c r="W983" s="52" t="n"/>
      <c r="X983" s="52" t="n"/>
      <c r="Y983" s="52" t="n"/>
      <c r="Z983" s="52" t="n"/>
      <c r="AA983" s="52" t="n"/>
      <c r="AB983" s="52" t="n"/>
      <c r="AC983" s="52" t="n"/>
    </row>
  </sheetData>
  <autoFilter ref="$A$4:$AO$43"/>
  <mergeCells count="5">
    <mergeCell ref="W2:AC3"/>
    <mergeCell ref="S3:V3"/>
    <mergeCell ref="K2:V2"/>
    <mergeCell ref="K3:N3"/>
    <mergeCell ref="O3:R3"/>
  </mergeCells>
  <conditionalFormatting sqref="C1:C96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6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13 J5:AE14 AF5:AP13">
    <cfRule type="expression" priority="5" dxfId="1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NSE:TATATECH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>
        <f>IFERROR(__xludf.DUMMYFUNCTION("GOOGLEFINANCE($C$1, ""price"")"),626.5)</f>
        <v/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>
        <f>IFERROR(__xludf.DUMMYFUNCTION("GOOGLEFINANCE($C$1, ""high52"")"),797.0)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>
        <f>IFERROR(__xludf.DUMMYFUNCTION("GOOGLEFINANCE($C$1, ""low52"")"),597.0)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7">
        <f>IFERROR(Index!C10/(Index!C8*Index!$C$2), 0)</f>
        <v/>
      </c>
      <c r="D9" s="59" t="n"/>
      <c r="E9" s="69" t="inlineStr">
        <is>
          <t>ST Avg %</t>
        </is>
      </c>
      <c r="F9" s="57">
        <f>IFERROR(Index!F10/(Index!F8*Index!$C$2), 0)</f>
        <v/>
      </c>
      <c r="G9" s="59" t="n"/>
      <c r="H9" s="70" t="inlineStr">
        <is>
          <t>LT Avg %</t>
        </is>
      </c>
      <c r="I9" s="57">
        <f>IFERROR(Index!I10/(Index!I8*Index!$C$2), 0)</f>
        <v/>
      </c>
      <c r="J9" s="59" t="n"/>
      <c r="K9" s="71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History'!$B18:$B1007,"DIV",'Trading History'!$AC$4:$AC1007)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7">
        <f>IFERROR(Index!C17/(Index!C15*Index!$C$2), 0)</f>
        <v/>
      </c>
      <c r="D16" s="59" t="n"/>
      <c r="E16" s="69" t="inlineStr">
        <is>
          <t>ST Avg %</t>
        </is>
      </c>
      <c r="F16" s="57">
        <f>IFERROR(Index!F17/(Index!F15*Index!$C$2), 0)</f>
        <v/>
      </c>
      <c r="G16" s="59" t="n"/>
      <c r="H16" s="70" t="inlineStr">
        <is>
          <t>LT Avg %</t>
        </is>
      </c>
      <c r="I16" s="57">
        <f>IFERROR(Index!I17/(Index!I15*Index!$C$2), 0)</f>
        <v/>
      </c>
      <c r="J16" s="59" t="n"/>
      <c r="K16" s="71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7">
        <f>IFERROR(Index!C24/(Index!C22*Index!$C$2), 0)</f>
        <v/>
      </c>
      <c r="D23" s="59" t="n"/>
      <c r="E23" s="69" t="inlineStr">
        <is>
          <t>ST Avg %</t>
        </is>
      </c>
      <c r="F23" s="57">
        <f>IFERROR(Index!F24/(Index!F22*Index!$C$2), 0)</f>
        <v/>
      </c>
      <c r="G23" s="59" t="n"/>
      <c r="H23" s="70" t="inlineStr">
        <is>
          <t>LT Avg %</t>
        </is>
      </c>
      <c r="I23" s="57">
        <f>IFERROR(Index!I24/(Index!I22*Index!$C$2), 0)</f>
        <v/>
      </c>
      <c r="J23" s="59" t="n"/>
      <c r="K23" s="71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7">
        <f>IFERROR(Index!C31/(Index!C29*Index!$C$2), 0)</f>
        <v/>
      </c>
      <c r="D30" s="59" t="n"/>
      <c r="E30" s="69" t="inlineStr">
        <is>
          <t>ST Avg %</t>
        </is>
      </c>
      <c r="F30" s="57">
        <f>IFERROR(Index!F31/(Index!F29*Index!$C$2), 0)</f>
        <v/>
      </c>
      <c r="G30" s="59" t="n"/>
      <c r="H30" s="70" t="inlineStr">
        <is>
          <t>LT Avg %</t>
        </is>
      </c>
      <c r="I30" s="57">
        <f>IFERROR(Index!I31/(Index!I29*Index!$C$2), 0)</f>
        <v/>
      </c>
      <c r="J30" s="59" t="n"/>
      <c r="K30" s="71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7">
        <f>IFERROR(Index!C38/(Index!C36*Index!$C$2), 0)</f>
        <v/>
      </c>
      <c r="D37" s="59" t="n"/>
      <c r="E37" s="69" t="inlineStr">
        <is>
          <t>ST Avg %</t>
        </is>
      </c>
      <c r="F37" s="57">
        <f>IFERROR(Index!F38/(Index!F36*Index!$C$2), 0)</f>
        <v/>
      </c>
      <c r="G37" s="59" t="n"/>
      <c r="H37" s="70" t="inlineStr">
        <is>
          <t>LT Avg %</t>
        </is>
      </c>
      <c r="I37" s="57">
        <f>IFERROR(Index!I38/(Index!I36*Index!$C$2), 0)</f>
        <v/>
      </c>
      <c r="J37" s="59" t="n"/>
      <c r="K37" s="71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7">
        <f>IFERROR(Index!C45/(Index!C43*Index!$C$2), 0)</f>
        <v/>
      </c>
      <c r="D44" s="59" t="n"/>
      <c r="E44" s="69" t="inlineStr">
        <is>
          <t>ST Avg %</t>
        </is>
      </c>
      <c r="F44" s="57">
        <f>IFERROR(Index!F45/(Index!F43*Index!$C$2), 0)</f>
        <v/>
      </c>
      <c r="G44" s="59" t="n"/>
      <c r="H44" s="70" t="inlineStr">
        <is>
          <t>LT Avg %</t>
        </is>
      </c>
      <c r="I44" s="57">
        <f>IFERROR(Index!I45/(Index!I43*Index!$C$2), 0)</f>
        <v/>
      </c>
      <c r="J44" s="59" t="n"/>
      <c r="K44" s="71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7">
        <f>IFERROR(Index!C52/(Index!C50*Index!$C$2), 0)</f>
        <v/>
      </c>
      <c r="D51" s="59" t="n"/>
      <c r="E51" s="69" t="inlineStr">
        <is>
          <t>ST Avg %</t>
        </is>
      </c>
      <c r="F51" s="57">
        <f>IFERROR(Index!F52/(Index!F50*Index!$C$2), 0)</f>
        <v/>
      </c>
      <c r="G51" s="59" t="n"/>
      <c r="H51" s="70" t="inlineStr">
        <is>
          <t>LT Avg %</t>
        </is>
      </c>
      <c r="I51" s="57">
        <f>IFERROR(Index!I52/(Index!I50*Index!$C$2), 0)</f>
        <v/>
      </c>
      <c r="J51" s="59" t="n"/>
      <c r="K51" s="71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7">
        <f>IFERROR(Index!C59/(Index!C57*Index!$C$2), 0)</f>
        <v/>
      </c>
      <c r="D58" s="59" t="n"/>
      <c r="E58" s="69" t="inlineStr">
        <is>
          <t>ST Avg %</t>
        </is>
      </c>
      <c r="F58" s="57">
        <f>IFERROR(Index!F59/(Index!F57*Index!$C$2), 0)</f>
        <v/>
      </c>
      <c r="G58" s="59" t="n"/>
      <c r="H58" s="70" t="inlineStr">
        <is>
          <t>LT Avg %</t>
        </is>
      </c>
      <c r="I58" s="57">
        <f>IFERROR(Index!I59/(Index!I57*Index!$C$2), 0)</f>
        <v/>
      </c>
      <c r="J58" s="59" t="n"/>
      <c r="K58" s="71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7">
        <f>IFERROR(Index!C66/(Index!C64*Index!$C$2), 0)</f>
        <v/>
      </c>
      <c r="D65" s="59" t="n"/>
      <c r="E65" s="69" t="inlineStr">
        <is>
          <t>ST Avg %</t>
        </is>
      </c>
      <c r="F65" s="57">
        <f>IFERROR(Index!F66/(Index!F64*Index!$C$2), 0)</f>
        <v/>
      </c>
      <c r="G65" s="59" t="n"/>
      <c r="H65" s="70" t="inlineStr">
        <is>
          <t>LT Avg %</t>
        </is>
      </c>
      <c r="I65" s="57">
        <f>IFERROR(Index!I66/(Index!I64*Index!$C$2), 0)</f>
        <v/>
      </c>
      <c r="J65" s="59" t="n"/>
      <c r="K65" s="71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7">
        <f>IFERROR(Index!C73/(Index!C71*Index!$C$2), 0)</f>
        <v/>
      </c>
      <c r="D72" s="59" t="n"/>
      <c r="E72" s="69" t="inlineStr">
        <is>
          <t>ST Avg %</t>
        </is>
      </c>
      <c r="F72" s="57">
        <f>IFERROR(Index!F73/(Index!F71*Index!$C$2), 0)</f>
        <v/>
      </c>
      <c r="G72" s="59" t="n"/>
      <c r="H72" s="70" t="inlineStr">
        <is>
          <t>LT Avg %</t>
        </is>
      </c>
      <c r="I72" s="57">
        <f>IFERROR(Index!I73/(Index!I71*Index!$C$2), 0)</f>
        <v/>
      </c>
      <c r="J72" s="59" t="n"/>
      <c r="K72" s="71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7">
        <f>IFERROR(Index!C80/(Index!C78*Index!$C$2), 0)</f>
        <v/>
      </c>
      <c r="D79" s="59" t="n"/>
      <c r="E79" s="69" t="inlineStr">
        <is>
          <t>ST Avg %</t>
        </is>
      </c>
      <c r="F79" s="57">
        <f>IFERROR(Index!F80/(Index!F78*Index!$C$2), 0)</f>
        <v/>
      </c>
      <c r="G79" s="59" t="n"/>
      <c r="H79" s="70" t="inlineStr">
        <is>
          <t>LT Avg %</t>
        </is>
      </c>
      <c r="I79" s="57">
        <f>IFERROR(Index!I80/(Index!I78*Index!$C$2), 0)</f>
        <v/>
      </c>
      <c r="J79" s="59" t="n"/>
      <c r="K79" s="71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7">
        <f>IFERROR(Index!C87/(Index!C85*Index!$C$2), 0)</f>
        <v/>
      </c>
      <c r="D86" s="59" t="n"/>
      <c r="E86" s="69" t="inlineStr">
        <is>
          <t>ST Avg %</t>
        </is>
      </c>
      <c r="F86" s="57">
        <f>IFERROR(Index!F87/(Index!F85*Index!$C$2), 0)</f>
        <v/>
      </c>
      <c r="G86" s="59" t="n"/>
      <c r="H86" s="70" t="inlineStr">
        <is>
          <t>LT Avg %</t>
        </is>
      </c>
      <c r="I86" s="57">
        <f>IFERROR(Index!I87/(Index!I85*Index!$C$2), 0)</f>
        <v/>
      </c>
      <c r="J86" s="59" t="n"/>
      <c r="K86" s="71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5" t="n"/>
      <c r="V1006" s="55" t="n"/>
      <c r="W1006" s="55" t="n"/>
      <c r="X1006" s="55" t="n"/>
      <c r="Y1006" s="55" t="n"/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5" t="n"/>
      <c r="V1007" s="55" t="n"/>
      <c r="W1007" s="55" t="n"/>
      <c r="X1007" s="55" t="n"/>
      <c r="Y1007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2026-02-12T03:15:55Z</dcterms:created>
  <dcterms:modified xmlns:dcterms="http://purl.org/dc/terms/" xmlns:xsi="http://www.w3.org/2001/XMLSchema-instance" xsi:type="dcterms:W3CDTF">2026-02-12T03:24:56Z</dcterms:modified>
</cp:coreProperties>
</file>