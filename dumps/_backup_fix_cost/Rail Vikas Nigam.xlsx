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9185B88_328F_4EEE_8BF3_A33658F36CA5_.wvu.FilterData" localSheetId="0" hidden="1">'Trading History'!$A$4:$AO$38</definedName>
    <definedName name="_xlnm._FilterDatabase" localSheetId="0" hidden="1">'Trading History'!$A$4:$AO$38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1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7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321.15</v>
      </c>
      <c r="F5" t="n">
        <v>3234.33</v>
      </c>
      <c r="G5" t="inlineStr">
        <is>
          <t>~</t>
        </is>
      </c>
      <c r="H5" t="n">
        <v>3.22</v>
      </c>
      <c r="I5" t="n">
        <v>19.61</v>
      </c>
    </row>
    <row r="6">
      <c r="A6" s="87" t="n">
        <v>46049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326.5</v>
      </c>
      <c r="F6" t="n">
        <v>3288.13</v>
      </c>
      <c r="G6" t="inlineStr">
        <is>
          <t>~</t>
        </is>
      </c>
      <c r="H6" t="n">
        <v>3.27</v>
      </c>
      <c r="I6" t="n">
        <v>19.86</v>
      </c>
    </row>
    <row r="7">
      <c r="A7" s="87" t="n">
        <v>46034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327.5</v>
      </c>
      <c r="F7" t="n">
        <v>3298.26</v>
      </c>
      <c r="G7" t="inlineStr">
        <is>
          <t>~</t>
        </is>
      </c>
      <c r="H7" t="n">
        <v>3.29</v>
      </c>
      <c r="I7" t="n">
        <v>19.97</v>
      </c>
    </row>
    <row r="8">
      <c r="A8" s="87" t="n">
        <v>46009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303.35</v>
      </c>
      <c r="F8" t="n">
        <v>3055.04</v>
      </c>
      <c r="G8" t="inlineStr">
        <is>
          <t>~</t>
        </is>
      </c>
      <c r="H8" t="n">
        <v>3.04</v>
      </c>
      <c r="I8" t="n">
        <v>18.5</v>
      </c>
    </row>
    <row r="9">
      <c r="A9" s="87" t="n">
        <v>46008</v>
      </c>
      <c r="B9" t="inlineStr">
        <is>
          <t>BSE</t>
        </is>
      </c>
      <c r="C9" t="inlineStr">
        <is>
          <t>Buy</t>
        </is>
      </c>
      <c r="D9" t="n">
        <v>10</v>
      </c>
      <c r="E9" t="n">
        <v>307.8</v>
      </c>
      <c r="F9" t="n">
        <v>3099.86</v>
      </c>
      <c r="G9" t="inlineStr">
        <is>
          <t>~</t>
        </is>
      </c>
      <c r="H9" t="n">
        <v>3.1</v>
      </c>
      <c r="I9" t="n">
        <v>18.76</v>
      </c>
    </row>
    <row r="10">
      <c r="A10" s="87" t="n">
        <v>46007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310.25</v>
      </c>
      <c r="F10" t="n">
        <v>3124.51</v>
      </c>
      <c r="G10" t="inlineStr">
        <is>
          <t>~</t>
        </is>
      </c>
      <c r="H10" t="n">
        <v>3.09</v>
      </c>
      <c r="I10" t="n">
        <v>18.92</v>
      </c>
    </row>
    <row r="11">
      <c r="A11" s="87" t="n">
        <v>46000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312.35</v>
      </c>
      <c r="F11" t="n">
        <v>3145.61</v>
      </c>
      <c r="G11" t="inlineStr">
        <is>
          <t>~</t>
        </is>
      </c>
      <c r="H11" t="n">
        <v>3.11</v>
      </c>
      <c r="I11" t="n">
        <v>19</v>
      </c>
    </row>
    <row r="12">
      <c r="A12" s="87" t="n">
        <v>45993</v>
      </c>
      <c r="B12" t="inlineStr">
        <is>
          <t>NSE</t>
        </is>
      </c>
      <c r="C12" t="inlineStr">
        <is>
          <t>Buy</t>
        </is>
      </c>
      <c r="D12" t="n">
        <v>10</v>
      </c>
      <c r="E12" t="n">
        <v>319.35</v>
      </c>
      <c r="F12" t="n">
        <v>3216.18</v>
      </c>
      <c r="G12" t="inlineStr">
        <is>
          <t>~</t>
        </is>
      </c>
      <c r="H12" t="n">
        <v>3.21</v>
      </c>
      <c r="I12" t="n">
        <v>19.47</v>
      </c>
    </row>
    <row r="13">
      <c r="A13" s="87" t="n">
        <v>45982</v>
      </c>
      <c r="B13" t="inlineStr">
        <is>
          <t>NSE</t>
        </is>
      </c>
      <c r="C13" t="inlineStr">
        <is>
          <t>Buy</t>
        </is>
      </c>
      <c r="D13" t="n">
        <v>20</v>
      </c>
      <c r="E13" t="n">
        <v>315.7</v>
      </c>
      <c r="F13" t="n">
        <v>6358.77</v>
      </c>
      <c r="G13" t="inlineStr">
        <is>
          <t>~</t>
        </is>
      </c>
      <c r="H13" t="n">
        <v>6.31</v>
      </c>
      <c r="I13" t="n">
        <v>38.46</v>
      </c>
    </row>
    <row r="14">
      <c r="A14" s="87" t="n">
        <v>45978</v>
      </c>
      <c r="B14" t="inlineStr">
        <is>
          <t>NSE</t>
        </is>
      </c>
      <c r="C14" t="inlineStr">
        <is>
          <t>Buy</t>
        </is>
      </c>
      <c r="D14" t="n">
        <v>20</v>
      </c>
      <c r="E14" t="n">
        <v>331.55</v>
      </c>
      <c r="F14" t="n">
        <v>6678.07</v>
      </c>
      <c r="G14" t="inlineStr">
        <is>
          <t>~</t>
        </is>
      </c>
      <c r="H14" t="n">
        <v>6.66</v>
      </c>
      <c r="I14" t="n">
        <v>40.41</v>
      </c>
    </row>
    <row r="15">
      <c r="A15" s="87" t="n">
        <v>45975</v>
      </c>
      <c r="B15" t="inlineStr">
        <is>
          <t>NSE</t>
        </is>
      </c>
      <c r="C15" t="inlineStr">
        <is>
          <t>Buy</t>
        </is>
      </c>
      <c r="D15" t="n">
        <v>20</v>
      </c>
      <c r="E15" t="n">
        <v>316.35</v>
      </c>
      <c r="F15" t="n">
        <v>6371.79</v>
      </c>
      <c r="G15" t="inlineStr">
        <is>
          <t>~</t>
        </is>
      </c>
      <c r="H15" t="n">
        <v>6.33</v>
      </c>
      <c r="I15" t="n">
        <v>38.46</v>
      </c>
    </row>
    <row r="16">
      <c r="A16" s="87" t="n">
        <v>45974</v>
      </c>
      <c r="B16" t="inlineStr">
        <is>
          <t>NSE</t>
        </is>
      </c>
      <c r="C16" t="inlineStr">
        <is>
          <t>Buy</t>
        </is>
      </c>
      <c r="D16" t="n">
        <v>10</v>
      </c>
      <c r="E16" t="n">
        <v>317.75</v>
      </c>
      <c r="F16" t="n">
        <v>3200.04</v>
      </c>
      <c r="G16" t="inlineStr">
        <is>
          <t>~</t>
        </is>
      </c>
      <c r="H16" t="n">
        <v>3.17</v>
      </c>
      <c r="I16" t="n">
        <v>19.37</v>
      </c>
    </row>
    <row r="17">
      <c r="A17" s="87" t="n">
        <v>45972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317.35</v>
      </c>
      <c r="F17" t="n">
        <v>3196.03</v>
      </c>
      <c r="G17" t="inlineStr">
        <is>
          <t>~</t>
        </is>
      </c>
      <c r="H17" t="n">
        <v>3.15</v>
      </c>
      <c r="I17" t="n">
        <v>19.38</v>
      </c>
    </row>
    <row r="18">
      <c r="A18" s="87" t="n">
        <v>45971</v>
      </c>
      <c r="B18" t="inlineStr">
        <is>
          <t>NSE</t>
        </is>
      </c>
      <c r="C18" t="inlineStr">
        <is>
          <t>Buy</t>
        </is>
      </c>
      <c r="D18" t="n">
        <v>20</v>
      </c>
      <c r="E18" t="n">
        <v>318.15</v>
      </c>
      <c r="F18" t="n">
        <v>6408.02</v>
      </c>
      <c r="G18" t="inlineStr">
        <is>
          <t>~</t>
        </is>
      </c>
      <c r="H18" t="n">
        <v>6.32</v>
      </c>
      <c r="I18" t="n">
        <v>38.7</v>
      </c>
    </row>
    <row r="19">
      <c r="A19" s="87" t="n">
        <v>45968</v>
      </c>
      <c r="B19" t="inlineStr">
        <is>
          <t>NSE</t>
        </is>
      </c>
      <c r="C19" t="inlineStr">
        <is>
          <t>Buy</t>
        </is>
      </c>
      <c r="D19" t="n">
        <v>20</v>
      </c>
      <c r="E19" t="n">
        <v>315.5</v>
      </c>
      <c r="F19" t="n">
        <v>6354.78</v>
      </c>
      <c r="G19" t="inlineStr">
        <is>
          <t>~</t>
        </is>
      </c>
      <c r="H19" t="n">
        <v>6.29</v>
      </c>
      <c r="I19" t="n">
        <v>38.49</v>
      </c>
    </row>
    <row r="20">
      <c r="A20" s="87" t="n">
        <v>45967</v>
      </c>
      <c r="B20" t="inlineStr">
        <is>
          <t>NSE</t>
        </is>
      </c>
      <c r="C20" t="inlineStr">
        <is>
          <t>Buy</t>
        </is>
      </c>
      <c r="D20" t="n">
        <v>20</v>
      </c>
      <c r="E20" t="n">
        <v>320.3</v>
      </c>
      <c r="F20" t="n">
        <v>6451.44</v>
      </c>
      <c r="G20" t="inlineStr">
        <is>
          <t>~</t>
        </is>
      </c>
      <c r="H20" t="n">
        <v>6.45</v>
      </c>
      <c r="I20" t="n">
        <v>38.99</v>
      </c>
    </row>
    <row r="21">
      <c r="A21" s="87" t="n">
        <v>45961</v>
      </c>
      <c r="B21" t="inlineStr">
        <is>
          <t>NSE</t>
        </is>
      </c>
      <c r="C21" t="inlineStr">
        <is>
          <t>Buy</t>
        </is>
      </c>
      <c r="D21" t="n">
        <v>20</v>
      </c>
      <c r="E21" t="n">
        <v>329.9</v>
      </c>
      <c r="F21" t="n">
        <v>6644.77</v>
      </c>
      <c r="G21" t="inlineStr">
        <is>
          <t>~</t>
        </is>
      </c>
      <c r="H21" t="n">
        <v>6.58</v>
      </c>
      <c r="I21" t="n">
        <v>40.19</v>
      </c>
    </row>
    <row r="22">
      <c r="A22" s="87" t="n">
        <v>45959</v>
      </c>
      <c r="B22" t="inlineStr">
        <is>
          <t>NSE</t>
        </is>
      </c>
      <c r="C22" t="inlineStr">
        <is>
          <t>Buy</t>
        </is>
      </c>
      <c r="D22" t="n">
        <v>30</v>
      </c>
      <c r="E22" t="n">
        <v>328.3</v>
      </c>
      <c r="F22" t="n">
        <v>9918.719999999999</v>
      </c>
      <c r="G22" t="inlineStr">
        <is>
          <t>~</t>
        </is>
      </c>
      <c r="H22" t="n">
        <v>9.83</v>
      </c>
      <c r="I22" t="n">
        <v>59.89</v>
      </c>
    </row>
    <row r="23">
      <c r="A23" s="87" t="n">
        <v>45957</v>
      </c>
      <c r="B23" t="inlineStr">
        <is>
          <t>NSE</t>
        </is>
      </c>
      <c r="C23" t="inlineStr">
        <is>
          <t>Buy</t>
        </is>
      </c>
      <c r="D23" t="n">
        <v>10</v>
      </c>
      <c r="E23" t="n">
        <v>329.8</v>
      </c>
      <c r="F23" t="n">
        <v>3321.4</v>
      </c>
      <c r="G23" t="inlineStr">
        <is>
          <t>~</t>
        </is>
      </c>
      <c r="H23" t="n">
        <v>3.31</v>
      </c>
      <c r="I23" t="n">
        <v>20.09</v>
      </c>
    </row>
    <row r="24">
      <c r="A24" s="87" t="n">
        <v>45954</v>
      </c>
      <c r="B24" t="inlineStr">
        <is>
          <t>NSE</t>
        </is>
      </c>
      <c r="C24" t="inlineStr">
        <is>
          <t>Buy</t>
        </is>
      </c>
      <c r="D24" t="n">
        <v>30</v>
      </c>
      <c r="E24" t="n">
        <v>331.45</v>
      </c>
      <c r="F24" t="n">
        <v>10014.1</v>
      </c>
      <c r="G24" t="inlineStr">
        <is>
          <t>~</t>
        </is>
      </c>
      <c r="H24" t="n">
        <v>9.960000000000001</v>
      </c>
      <c r="I24" t="n">
        <v>60.64</v>
      </c>
    </row>
    <row r="25">
      <c r="A25" s="87" t="n">
        <v>45953</v>
      </c>
      <c r="B25" t="inlineStr">
        <is>
          <t>BSE</t>
        </is>
      </c>
      <c r="C25" t="inlineStr">
        <is>
          <t>Buy</t>
        </is>
      </c>
      <c r="D25" t="n">
        <v>20</v>
      </c>
      <c r="E25" t="n">
        <v>333.95</v>
      </c>
      <c r="F25" t="n">
        <v>6726.39</v>
      </c>
      <c r="G25" t="inlineStr">
        <is>
          <t>~</t>
        </is>
      </c>
      <c r="H25" t="n">
        <v>6.66</v>
      </c>
      <c r="I25" t="n">
        <v>40.73</v>
      </c>
    </row>
    <row r="26">
      <c r="A26" s="87" t="n">
        <v>45950</v>
      </c>
      <c r="B26" t="inlineStr">
        <is>
          <t>NSE</t>
        </is>
      </c>
      <c r="C26" t="inlineStr">
        <is>
          <t>Buy</t>
        </is>
      </c>
      <c r="D26" t="n">
        <v>40</v>
      </c>
      <c r="E26" t="n">
        <v>330.7</v>
      </c>
      <c r="F26" t="n">
        <v>13321.59</v>
      </c>
      <c r="G26" t="inlineStr">
        <is>
          <t>~</t>
        </is>
      </c>
      <c r="H26" t="n">
        <v>13.22</v>
      </c>
      <c r="I26" t="n">
        <v>80.37</v>
      </c>
    </row>
    <row r="27">
      <c r="A27" s="87" t="n">
        <v>45947</v>
      </c>
      <c r="B27" t="inlineStr">
        <is>
          <t>NSE</t>
        </is>
      </c>
      <c r="C27" t="inlineStr">
        <is>
          <t>Buy</t>
        </is>
      </c>
      <c r="D27" t="n">
        <v>1</v>
      </c>
      <c r="E27" t="n">
        <v>333.55</v>
      </c>
      <c r="F27" t="n">
        <v>335.91</v>
      </c>
      <c r="G27" t="inlineStr">
        <is>
          <t>~</t>
        </is>
      </c>
      <c r="H27" t="n">
        <v>0.33</v>
      </c>
      <c r="I27" t="n">
        <v>2.03</v>
      </c>
    </row>
    <row r="28">
      <c r="A28" s="87" t="n">
        <v>45947</v>
      </c>
      <c r="B28" t="inlineStr">
        <is>
          <t>NSE</t>
        </is>
      </c>
      <c r="C28" t="inlineStr">
        <is>
          <t>Buy</t>
        </is>
      </c>
      <c r="D28" t="n">
        <v>1</v>
      </c>
      <c r="E28" t="n">
        <v>333.55</v>
      </c>
      <c r="F28" t="n">
        <v>335.91</v>
      </c>
      <c r="G28" t="inlineStr">
        <is>
          <t>~</t>
        </is>
      </c>
      <c r="H28" t="n">
        <v>0.33</v>
      </c>
      <c r="I28" t="n">
        <v>2.03</v>
      </c>
    </row>
    <row r="29">
      <c r="A29" s="87" t="n">
        <v>45947</v>
      </c>
      <c r="B29" t="inlineStr">
        <is>
          <t>NSE</t>
        </is>
      </c>
      <c r="C29" t="inlineStr">
        <is>
          <t>Buy</t>
        </is>
      </c>
      <c r="D29" t="n">
        <v>2</v>
      </c>
      <c r="E29" t="n">
        <v>333.55</v>
      </c>
      <c r="F29" t="n">
        <v>671.83</v>
      </c>
      <c r="G29" t="inlineStr">
        <is>
          <t>~</t>
        </is>
      </c>
      <c r="H29" t="n">
        <v>0.67</v>
      </c>
      <c r="I29" t="n">
        <v>4.06</v>
      </c>
    </row>
    <row r="30">
      <c r="A30" s="87" t="n">
        <v>45947</v>
      </c>
      <c r="B30" t="inlineStr">
        <is>
          <t>NSE</t>
        </is>
      </c>
      <c r="C30" t="inlineStr">
        <is>
          <t>Buy</t>
        </is>
      </c>
      <c r="D30" t="n">
        <v>2</v>
      </c>
      <c r="E30" t="n">
        <v>333.55</v>
      </c>
      <c r="F30" t="n">
        <v>671.83</v>
      </c>
      <c r="G30" t="inlineStr">
        <is>
          <t>~</t>
        </is>
      </c>
      <c r="H30" t="n">
        <v>0.67</v>
      </c>
      <c r="I30" t="n">
        <v>4.06</v>
      </c>
    </row>
    <row r="31">
      <c r="A31" s="87" t="n">
        <v>45947</v>
      </c>
      <c r="B31" t="inlineStr">
        <is>
          <t>NSE</t>
        </is>
      </c>
      <c r="C31" t="inlineStr">
        <is>
          <t>Buy</t>
        </is>
      </c>
      <c r="D31" t="n">
        <v>2</v>
      </c>
      <c r="E31" t="n">
        <v>333.55</v>
      </c>
      <c r="F31" t="n">
        <v>671.83</v>
      </c>
      <c r="G31" t="inlineStr">
        <is>
          <t>~</t>
        </is>
      </c>
      <c r="H31" t="n">
        <v>0.67</v>
      </c>
      <c r="I31" t="n">
        <v>4.06</v>
      </c>
    </row>
    <row r="32">
      <c r="A32" s="87" t="n">
        <v>45947</v>
      </c>
      <c r="B32" t="inlineStr">
        <is>
          <t>NSE</t>
        </is>
      </c>
      <c r="C32" t="inlineStr">
        <is>
          <t>Buy</t>
        </is>
      </c>
      <c r="D32" t="n">
        <v>2</v>
      </c>
      <c r="E32" t="n">
        <v>333.55</v>
      </c>
      <c r="F32" t="n">
        <v>671.83</v>
      </c>
      <c r="G32" t="inlineStr">
        <is>
          <t>~</t>
        </is>
      </c>
      <c r="H32" t="n">
        <v>0.67</v>
      </c>
      <c r="I32" t="n">
        <v>4.06</v>
      </c>
    </row>
    <row r="33">
      <c r="A33" s="87" t="n">
        <v>45947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333.55</v>
      </c>
      <c r="F33" t="n">
        <v>671.83</v>
      </c>
      <c r="G33" t="inlineStr">
        <is>
          <t>~</t>
        </is>
      </c>
      <c r="H33" t="n">
        <v>0.67</v>
      </c>
      <c r="I33" t="n">
        <v>4.06</v>
      </c>
    </row>
    <row r="34">
      <c r="A34" s="87" t="n">
        <v>45947</v>
      </c>
      <c r="B34" t="inlineStr">
        <is>
          <t>NSE</t>
        </is>
      </c>
      <c r="C34" t="inlineStr">
        <is>
          <t>Buy</t>
        </is>
      </c>
      <c r="D34" t="n">
        <v>1</v>
      </c>
      <c r="E34" t="n">
        <v>333.55</v>
      </c>
      <c r="F34" t="n">
        <v>335.91</v>
      </c>
      <c r="G34" t="inlineStr">
        <is>
          <t>~</t>
        </is>
      </c>
      <c r="H34" t="n">
        <v>0.33</v>
      </c>
      <c r="I34" t="n">
        <v>2.03</v>
      </c>
    </row>
    <row r="35">
      <c r="A35" s="87" t="n">
        <v>45947</v>
      </c>
      <c r="B35" t="inlineStr">
        <is>
          <t>NSE</t>
        </is>
      </c>
      <c r="C35" t="inlineStr">
        <is>
          <t>Buy</t>
        </is>
      </c>
      <c r="D35" t="n">
        <v>2</v>
      </c>
      <c r="E35" t="n">
        <v>333.55</v>
      </c>
      <c r="F35" t="n">
        <v>671.83</v>
      </c>
      <c r="G35" t="inlineStr">
        <is>
          <t>~</t>
        </is>
      </c>
      <c r="H35" t="n">
        <v>0.67</v>
      </c>
      <c r="I35" t="n">
        <v>4.06</v>
      </c>
    </row>
    <row r="36">
      <c r="A36" s="87" t="n">
        <v>45947</v>
      </c>
      <c r="B36" t="inlineStr">
        <is>
          <t>NSE</t>
        </is>
      </c>
      <c r="C36" t="inlineStr">
        <is>
          <t>Buy</t>
        </is>
      </c>
      <c r="D36" t="n">
        <v>1</v>
      </c>
      <c r="E36" t="n">
        <v>333.55</v>
      </c>
      <c r="F36" t="n">
        <v>335.91</v>
      </c>
      <c r="G36" t="inlineStr">
        <is>
          <t>~</t>
        </is>
      </c>
      <c r="H36" t="n">
        <v>0.33</v>
      </c>
      <c r="I36" t="n">
        <v>2.03</v>
      </c>
    </row>
    <row r="37">
      <c r="A37" s="87" t="n">
        <v>45947</v>
      </c>
      <c r="B37" t="inlineStr">
        <is>
          <t>NSE</t>
        </is>
      </c>
      <c r="C37" t="inlineStr">
        <is>
          <t>Buy</t>
        </is>
      </c>
      <c r="D37" t="n">
        <v>1</v>
      </c>
      <c r="E37" t="n">
        <v>333.55</v>
      </c>
      <c r="F37" t="n">
        <v>335.91</v>
      </c>
      <c r="G37" t="inlineStr">
        <is>
          <t>~</t>
        </is>
      </c>
      <c r="H37" t="n">
        <v>0.33</v>
      </c>
      <c r="I37" t="n">
        <v>2.03</v>
      </c>
    </row>
    <row r="38">
      <c r="A38" s="87" t="n">
        <v>45947</v>
      </c>
      <c r="B38" t="inlineStr">
        <is>
          <t>NSE</t>
        </is>
      </c>
      <c r="C38" t="inlineStr">
        <is>
          <t>Buy</t>
        </is>
      </c>
      <c r="D38" t="n">
        <v>2</v>
      </c>
      <c r="E38" t="n">
        <v>333.55</v>
      </c>
      <c r="F38" t="n">
        <v>671.83</v>
      </c>
      <c r="G38" t="inlineStr">
        <is>
          <t>~</t>
        </is>
      </c>
      <c r="H38" t="n">
        <v>0.67</v>
      </c>
      <c r="I38" t="n">
        <v>4.06</v>
      </c>
    </row>
    <row r="39">
      <c r="A39" s="87" t="n">
        <v>45947</v>
      </c>
      <c r="B39" t="inlineStr">
        <is>
          <t>NSE</t>
        </is>
      </c>
      <c r="C39" t="inlineStr">
        <is>
          <t>Buy</t>
        </is>
      </c>
      <c r="D39" t="n">
        <v>1</v>
      </c>
      <c r="E39" t="n">
        <v>333.55</v>
      </c>
      <c r="F39" t="n">
        <v>335.91</v>
      </c>
      <c r="G39" t="inlineStr">
        <is>
          <t>~</t>
        </is>
      </c>
      <c r="H39" t="n">
        <v>0.33</v>
      </c>
      <c r="I39" t="n">
        <v>2.03</v>
      </c>
    </row>
    <row r="40">
      <c r="A40" s="87" t="n">
        <v>45947</v>
      </c>
      <c r="B40" t="inlineStr">
        <is>
          <t>NSE</t>
        </is>
      </c>
      <c r="C40" t="inlineStr">
        <is>
          <t>Buy</t>
        </is>
      </c>
      <c r="D40" t="n">
        <v>2</v>
      </c>
      <c r="E40" t="n">
        <v>333.55</v>
      </c>
      <c r="F40" t="n">
        <v>671.83</v>
      </c>
      <c r="G40" t="inlineStr">
        <is>
          <t>~</t>
        </is>
      </c>
      <c r="H40" t="n">
        <v>0.67</v>
      </c>
      <c r="I40" t="n">
        <v>4.06</v>
      </c>
    </row>
    <row r="41">
      <c r="A41" s="87" t="n">
        <v>45947</v>
      </c>
      <c r="B41" t="inlineStr">
        <is>
          <t>NSE</t>
        </is>
      </c>
      <c r="C41" t="inlineStr">
        <is>
          <t>Buy</t>
        </is>
      </c>
      <c r="D41" t="n">
        <v>2</v>
      </c>
      <c r="E41" t="n">
        <v>333.55</v>
      </c>
      <c r="F41" t="n">
        <v>671.83</v>
      </c>
      <c r="G41" t="inlineStr">
        <is>
          <t>~</t>
        </is>
      </c>
      <c r="H41" t="n">
        <v>0.67</v>
      </c>
      <c r="I41" t="n">
        <v>4.06</v>
      </c>
    </row>
    <row r="42">
      <c r="A42" s="87" t="n">
        <v>45947</v>
      </c>
      <c r="B42" t="inlineStr">
        <is>
          <t>NSE</t>
        </is>
      </c>
      <c r="C42" t="inlineStr">
        <is>
          <t>Buy</t>
        </is>
      </c>
      <c r="D42" t="n">
        <v>2</v>
      </c>
      <c r="E42" t="n">
        <v>333.55</v>
      </c>
      <c r="F42" t="n">
        <v>671.83</v>
      </c>
      <c r="G42" t="inlineStr">
        <is>
          <t>~</t>
        </is>
      </c>
      <c r="H42" t="n">
        <v>0.67</v>
      </c>
      <c r="I42" t="n">
        <v>4.06</v>
      </c>
    </row>
    <row r="43">
      <c r="A43" s="87" t="n">
        <v>45947</v>
      </c>
      <c r="B43" t="inlineStr">
        <is>
          <t>NSE</t>
        </is>
      </c>
      <c r="C43" t="inlineStr">
        <is>
          <t>Buy</t>
        </is>
      </c>
      <c r="D43" t="n">
        <v>2</v>
      </c>
      <c r="E43" t="n">
        <v>333.55</v>
      </c>
      <c r="F43" t="n">
        <v>671.83</v>
      </c>
      <c r="G43" t="inlineStr">
        <is>
          <t>~</t>
        </is>
      </c>
      <c r="H43" t="n">
        <v>0.67</v>
      </c>
      <c r="I43" t="n">
        <v>4.06</v>
      </c>
    </row>
    <row r="44">
      <c r="A44" s="87" t="n">
        <v>45947</v>
      </c>
      <c r="B44" t="inlineStr">
        <is>
          <t>NSE</t>
        </is>
      </c>
      <c r="C44" t="inlineStr">
        <is>
          <t>Buy</t>
        </is>
      </c>
      <c r="D44" t="n">
        <v>1</v>
      </c>
      <c r="E44" t="n">
        <v>333.55</v>
      </c>
      <c r="F44" t="n">
        <v>335.91</v>
      </c>
      <c r="G44" t="inlineStr">
        <is>
          <t>~</t>
        </is>
      </c>
      <c r="H44" t="n">
        <v>0.33</v>
      </c>
      <c r="I44" t="n">
        <v>2.03</v>
      </c>
    </row>
    <row r="45">
      <c r="A45" s="87" t="n">
        <v>45947</v>
      </c>
      <c r="B45" t="inlineStr">
        <is>
          <t>NSE</t>
        </is>
      </c>
      <c r="C45" t="inlineStr">
        <is>
          <t>Buy</t>
        </is>
      </c>
      <c r="D45" t="n">
        <v>1</v>
      </c>
      <c r="E45" t="n">
        <v>333.55</v>
      </c>
      <c r="F45" t="n">
        <v>335.91</v>
      </c>
      <c r="G45" t="inlineStr">
        <is>
          <t>~</t>
        </is>
      </c>
      <c r="H45" t="n">
        <v>0.33</v>
      </c>
      <c r="I45" t="n">
        <v>2.03</v>
      </c>
    </row>
    <row r="46">
      <c r="A46" s="87" t="n">
        <v>45943</v>
      </c>
      <c r="B46" t="inlineStr">
        <is>
          <t>BSE</t>
        </is>
      </c>
      <c r="C46" t="inlineStr">
        <is>
          <t>Buy</t>
        </is>
      </c>
      <c r="D46" t="n">
        <v>10</v>
      </c>
      <c r="E46" t="n">
        <v>339.1</v>
      </c>
      <c r="F46" t="n">
        <v>3414.95</v>
      </c>
      <c r="G46" t="inlineStr">
        <is>
          <t>~</t>
        </is>
      </c>
      <c r="H46" t="n">
        <v>3.2</v>
      </c>
      <c r="I46" t="n">
        <v>20.75</v>
      </c>
    </row>
    <row r="47">
      <c r="A47" s="87" t="n">
        <v>45940</v>
      </c>
      <c r="B47" t="inlineStr">
        <is>
          <t>NSE</t>
        </is>
      </c>
      <c r="C47" t="inlineStr">
        <is>
          <t>Buy</t>
        </is>
      </c>
      <c r="D47" t="n">
        <v>20</v>
      </c>
      <c r="E47" t="n">
        <v>345.05</v>
      </c>
      <c r="F47" t="n">
        <v>6950.08</v>
      </c>
      <c r="G47" t="inlineStr">
        <is>
          <t>~</t>
        </is>
      </c>
      <c r="H47" t="n">
        <v>7</v>
      </c>
      <c r="I47" t="n">
        <v>42.08</v>
      </c>
    </row>
    <row r="48">
      <c r="A48" s="38" t="n">
        <v>45950</v>
      </c>
      <c r="B48" s="39" t="inlineStr">
        <is>
          <t>NSE</t>
        </is>
      </c>
      <c r="C48" s="39" t="inlineStr">
        <is>
          <t>Buy</t>
        </is>
      </c>
      <c r="D48" s="40" t="n">
        <v>40</v>
      </c>
      <c r="E48" s="41" t="n">
        <v>333.04</v>
      </c>
      <c r="F48" s="42">
        <f>D5*E5</f>
        <v/>
      </c>
      <c r="G48" s="39" t="inlineStr">
        <is>
          <t>~</t>
        </is>
      </c>
      <c r="H48" s="40" t="n"/>
      <c r="I48" s="40" t="n"/>
      <c r="J48" s="43">
        <f>Index!$C$2</f>
        <v/>
      </c>
      <c r="K48" s="44">
        <f>IF(AND( C5="Buy", ISBLANK(W5), B5&lt;&gt;"DIV"), L5/sum(F5:I5), "")</f>
        <v/>
      </c>
      <c r="L48" s="45">
        <f>IF(AND( C5="Buy", ISBLANK(W5), B5&lt;&gt;"DIV"), (1-Index!$F$2*2)*((J5*D5)-(E5*D5)), "")</f>
        <v/>
      </c>
      <c r="M48" s="45">
        <f>IF(AND( C5="Buy", ISBLANK(W5), B5&lt;&gt;"DIV"), ((E5*D5)+L5), "")</f>
        <v/>
      </c>
      <c r="N48" s="46">
        <f>IF(AND( C5="Buy", ISBLANK(W5), B5&lt;&gt;"DIV"), D5, "")</f>
        <v/>
      </c>
      <c r="O48" s="44">
        <f>IF(AND( C5="Buy", ISBLANK(W5), B5&lt;&gt;"DIV", NOW()-A5 &lt; 365), P5/sum(F5:I5), "")</f>
        <v/>
      </c>
      <c r="P48" s="45">
        <f>IF(AND( C5="Buy", ISBLANK(W5), B5&lt;&gt;"DIV", NOW()-A5 &lt; 365), (1-Index!$F$2*2)*((J5*D5)-(E5*D5)), "")</f>
        <v/>
      </c>
      <c r="Q48" s="45">
        <f>IF(AND( C5="Buy", ISBLANK(W5), B5&lt;&gt;"DIV", NOW()-A5 &lt; 365), ((E5*D5)+P5), "")</f>
        <v/>
      </c>
      <c r="R48" s="45">
        <f>IF(AND( C5="Buy", ISBLANK(W5), B5&lt;&gt;"DIV", NOW()-A5 &lt; 365), D5, "")</f>
        <v/>
      </c>
      <c r="S48" s="47">
        <f>IF(AND( C5="Buy", ISBLANK(W5), B5&lt;&gt;"DIV", NOW()-A5 &gt; 365), T5/sum(F5:I5), "")</f>
        <v/>
      </c>
      <c r="T48" s="48">
        <f>IF(AND( C5="Buy", ISBLANK(W5), B5&lt;&gt;"DIV", NOW()-A5 &gt; 365), (1-Index!$F$2*2)*((J5*D5)-(E5*D5)), "")</f>
        <v/>
      </c>
      <c r="U48" s="48">
        <f>IF(AND( C5="Buy", ISBLANK(W5), B5&lt;&gt;"DIV", NOW()-A5 &gt; 365), ((E5*D5)+T5), "")</f>
        <v/>
      </c>
      <c r="V48" s="48">
        <f>IF(AND( C5="Buy", ISBLANK(W5), B5&lt;&gt;"DIV", NOW()-A5 &gt; 365), D5, "")</f>
        <v/>
      </c>
      <c r="W48" s="49" t="n"/>
      <c r="X48" s="49" t="n"/>
      <c r="Y48" s="50" t="n"/>
      <c r="Z48" s="49" t="n"/>
      <c r="AA48" s="49" t="n"/>
      <c r="AB48" s="51" t="n"/>
      <c r="AC48" s="52" t="n"/>
      <c r="AD48" s="53" t="n"/>
    </row>
    <row r="49">
      <c r="A49" s="38" t="n">
        <v>45947</v>
      </c>
      <c r="B49" s="39" t="inlineStr">
        <is>
          <t>NSE</t>
        </is>
      </c>
      <c r="C49" s="39" t="inlineStr">
        <is>
          <t>Buy</t>
        </is>
      </c>
      <c r="D49" s="40" t="n">
        <v>30</v>
      </c>
      <c r="E49" s="41" t="n">
        <v>335.92</v>
      </c>
      <c r="F49" s="42">
        <f>D6*E6</f>
        <v/>
      </c>
      <c r="G49" s="39" t="inlineStr">
        <is>
          <t>~</t>
        </is>
      </c>
      <c r="H49" s="40" t="n"/>
      <c r="I49" s="40" t="n"/>
      <c r="J49" s="43">
        <f>Index!$C$2</f>
        <v/>
      </c>
      <c r="K49" s="44">
        <f>IF(AND( C6="Buy", ISBLANK(W6), B6&lt;&gt;"DIV"), L6/sum(F6:I6), "")</f>
        <v/>
      </c>
      <c r="L49" s="45">
        <f>IF(AND( C6="Buy", ISBLANK(W6), B6&lt;&gt;"DIV"), (1-Index!$F$2*2)*((J6*D6)-(E6*D6)), "")</f>
        <v/>
      </c>
      <c r="M49" s="45">
        <f>IF(AND( C6="Buy", ISBLANK(W6), B6&lt;&gt;"DIV"), ((E6*D6)+L6), "")</f>
        <v/>
      </c>
      <c r="N49" s="46">
        <f>IF(AND( C6="Buy", ISBLANK(W6), B6&lt;&gt;"DIV"), D6, "")</f>
        <v/>
      </c>
      <c r="O49" s="44">
        <f>IF(AND( C6="Buy", ISBLANK(W6), B6&lt;&gt;"DIV", NOW()-A6 &lt; 365), P6/sum(F6:I6), "")</f>
        <v/>
      </c>
      <c r="P49" s="45">
        <f>IF(AND( C6="Buy", ISBLANK(W6), B6&lt;&gt;"DIV", NOW()-A6 &lt; 365), (1-Index!$F$2*2)*((J6*D6)-(E6*D6)), "")</f>
        <v/>
      </c>
      <c r="Q49" s="45">
        <f>IF(AND( C6="Buy", ISBLANK(W6), B6&lt;&gt;"DIV", NOW()-A6 &lt; 365), ((E6*D6)+P6), "")</f>
        <v/>
      </c>
      <c r="R49" s="45">
        <f>IF(AND( C6="Buy", ISBLANK(W6), B6&lt;&gt;"DIV", NOW()-A6 &lt; 365), D6, "")</f>
        <v/>
      </c>
      <c r="S49" s="47">
        <f>IF(AND( C6="Buy", ISBLANK(W6), B6&lt;&gt;"DIV", NOW()-A6 &gt; 365), T6/sum(F6:I6), "")</f>
        <v/>
      </c>
      <c r="T49" s="48">
        <f>IF(AND( C6="Buy", ISBLANK(W6), B6&lt;&gt;"DIV", NOW()-A6 &gt; 365), (1-Index!$F$2*2)*((J6*D6)-(E6*D6)), "")</f>
        <v/>
      </c>
      <c r="U49" s="48">
        <f>IF(AND( C6="Buy", ISBLANK(W6), B6&lt;&gt;"DIV", NOW()-A6 &gt; 365), ((E6*D6)+T6), "")</f>
        <v/>
      </c>
      <c r="V49" s="48">
        <f>IF(AND( C6="Buy", ISBLANK(W6), B6&lt;&gt;"DIV", NOW()-A6 &gt; 365), D6, "")</f>
        <v/>
      </c>
      <c r="W49" s="49" t="n"/>
      <c r="X49" s="49" t="n"/>
      <c r="Y49" s="50" t="n"/>
      <c r="Z49" s="49" t="n"/>
      <c r="AA49" s="49" t="n"/>
      <c r="AB49" s="51" t="n"/>
      <c r="AC49" s="52" t="n"/>
      <c r="AD49" s="53" t="n"/>
    </row>
    <row r="50">
      <c r="A50" s="38" t="n">
        <v>45943</v>
      </c>
      <c r="B50" s="39" t="inlineStr">
        <is>
          <t>NSE</t>
        </is>
      </c>
      <c r="C50" s="39" t="inlineStr">
        <is>
          <t>Buy</t>
        </is>
      </c>
      <c r="D50" s="40" t="n">
        <v>10</v>
      </c>
      <c r="E50" s="41" t="n">
        <v>341.5</v>
      </c>
      <c r="F50" s="42">
        <f>D7*E7</f>
        <v/>
      </c>
      <c r="G50" s="39" t="inlineStr">
        <is>
          <t>~</t>
        </is>
      </c>
      <c r="H50" s="40" t="n"/>
      <c r="I50" s="40" t="n"/>
      <c r="J50" s="43">
        <f>Index!$C$2</f>
        <v/>
      </c>
      <c r="K50" s="44">
        <f>IF(AND( C7="Buy", ISBLANK(W7), B7&lt;&gt;"DIV"), L7/sum(F7:I7), "")</f>
        <v/>
      </c>
      <c r="L50" s="45">
        <f>IF(AND( C7="Buy", ISBLANK(W7), B7&lt;&gt;"DIV"), (1-Index!$F$2*2)*((J7*D7)-(E7*D7)), "")</f>
        <v/>
      </c>
      <c r="M50" s="45">
        <f>IF(AND( C7="Buy", ISBLANK(W7), B7&lt;&gt;"DIV"), ((E7*D7)+L7), "")</f>
        <v/>
      </c>
      <c r="N50" s="46">
        <f>IF(AND( C7="Buy", ISBLANK(W7), B7&lt;&gt;"DIV"), D7, "")</f>
        <v/>
      </c>
      <c r="O50" s="44">
        <f>IF(AND( C7="Buy", ISBLANK(W7), B7&lt;&gt;"DIV", NOW()-A7 &lt; 365), P7/sum(F7:I7), "")</f>
        <v/>
      </c>
      <c r="P50" s="45">
        <f>IF(AND( C7="Buy", ISBLANK(W7), B7&lt;&gt;"DIV", NOW()-A7 &lt; 365), (1-Index!$F$2*2)*((J7*D7)-(E7*D7)), "")</f>
        <v/>
      </c>
      <c r="Q50" s="45">
        <f>IF(AND( C7="Buy", ISBLANK(W7), B7&lt;&gt;"DIV", NOW()-A7 &lt; 365), ((E7*D7)+P7), "")</f>
        <v/>
      </c>
      <c r="R50" s="45">
        <f>IF(AND( C7="Buy", ISBLANK(W7), B7&lt;&gt;"DIV", NOW()-A7 &lt; 365), D7, "")</f>
        <v/>
      </c>
      <c r="S50" s="47">
        <f>IF(AND( C7="Buy", ISBLANK(W7), B7&lt;&gt;"DIV", NOW()-A7 &gt; 365), T7/sum(F7:I7), "")</f>
        <v/>
      </c>
      <c r="T50" s="48">
        <f>IF(AND( C7="Buy", ISBLANK(W7), B7&lt;&gt;"DIV", NOW()-A7 &gt; 365), (1-Index!$F$2*2)*((J7*D7)-(E7*D7)), "")</f>
        <v/>
      </c>
      <c r="U50" s="48">
        <f>IF(AND( C7="Buy", ISBLANK(W7), B7&lt;&gt;"DIV", NOW()-A7 &gt; 365), ((E7*D7)+T7), "")</f>
        <v/>
      </c>
      <c r="V50" s="48">
        <f>IF(AND( C7="Buy", ISBLANK(W7), B7&lt;&gt;"DIV", NOW()-A7 &gt; 365), D7, "")</f>
        <v/>
      </c>
      <c r="W50" s="49" t="n"/>
      <c r="X50" s="49" t="n"/>
      <c r="Y50" s="50" t="n"/>
      <c r="Z50" s="49" t="n"/>
      <c r="AA50" s="49" t="n"/>
      <c r="AB50" s="51" t="n"/>
      <c r="AC50" s="52" t="n"/>
      <c r="AD50" s="53" t="n"/>
    </row>
    <row r="51">
      <c r="A51" s="38" t="n">
        <v>45940</v>
      </c>
      <c r="B51" s="39" t="inlineStr">
        <is>
          <t>NSE</t>
        </is>
      </c>
      <c r="C51" s="39" t="inlineStr">
        <is>
          <t>Buy</t>
        </is>
      </c>
      <c r="D51" s="40" t="n">
        <v>20</v>
      </c>
      <c r="E51" s="41" t="n">
        <v>347.5</v>
      </c>
      <c r="F51" s="42">
        <f>D8*E8</f>
        <v/>
      </c>
      <c r="G51" s="39" t="inlineStr">
        <is>
          <t>~</t>
        </is>
      </c>
      <c r="H51" s="40" t="n"/>
      <c r="I51" s="40" t="n"/>
      <c r="J51" s="43">
        <f>Index!$C$2</f>
        <v/>
      </c>
      <c r="K51" s="44">
        <f>IF(AND( C8="Buy", ISBLANK(W8), B8&lt;&gt;"DIV"), L8/sum(F8:I8), "")</f>
        <v/>
      </c>
      <c r="L51" s="45">
        <f>IF(AND( C8="Buy", ISBLANK(W8), B8&lt;&gt;"DIV"), (1-Index!$F$2*2)*((J8*D8)-(E8*D8)), "")</f>
        <v/>
      </c>
      <c r="M51" s="45">
        <f>IF(AND( C8="Buy", ISBLANK(W8), B8&lt;&gt;"DIV"), ((E8*D8)+L8), "")</f>
        <v/>
      </c>
      <c r="N51" s="46">
        <f>IF(AND( C8="Buy", ISBLANK(W8), B8&lt;&gt;"DIV"), D8, "")</f>
        <v/>
      </c>
      <c r="O51" s="44">
        <f>IF(AND( C8="Buy", ISBLANK(W8), B8&lt;&gt;"DIV", NOW()-A8 &lt; 365), P8/sum(F8:I8), "")</f>
        <v/>
      </c>
      <c r="P51" s="45">
        <f>IF(AND( C8="Buy", ISBLANK(W8), B8&lt;&gt;"DIV", NOW()-A8 &lt; 365), (1-Index!$F$2*2)*((J8*D8)-(E8*D8)), "")</f>
        <v/>
      </c>
      <c r="Q51" s="45">
        <f>IF(AND( C8="Buy", ISBLANK(W8), B8&lt;&gt;"DIV", NOW()-A8 &lt; 365), ((E8*D8)+P8), "")</f>
        <v/>
      </c>
      <c r="R51" s="45">
        <f>IF(AND( C8="Buy", ISBLANK(W8), B8&lt;&gt;"DIV", NOW()-A8 &lt; 365), D8, "")</f>
        <v/>
      </c>
      <c r="S51" s="47">
        <f>IF(AND( C8="Buy", ISBLANK(W8), B8&lt;&gt;"DIV", NOW()-A8 &gt; 365), T8/sum(F8:I8), "")</f>
        <v/>
      </c>
      <c r="T51" s="48">
        <f>IF(AND( C8="Buy", ISBLANK(W8), B8&lt;&gt;"DIV", NOW()-A8 &gt; 365), (1-Index!$F$2*2)*((J8*D8)-(E8*D8)), "")</f>
        <v/>
      </c>
      <c r="U51" s="48">
        <f>IF(AND( C8="Buy", ISBLANK(W8), B8&lt;&gt;"DIV", NOW()-A8 &gt; 365), ((E8*D8)+T8), "")</f>
        <v/>
      </c>
      <c r="V51" s="48">
        <f>IF(AND( C8="Buy", ISBLANK(W8), B8&lt;&gt;"DIV", NOW()-A8 &gt; 365), D8, "")</f>
        <v/>
      </c>
      <c r="W51" s="49" t="n"/>
      <c r="X51" s="49" t="n"/>
      <c r="Y51" s="50" t="n"/>
      <c r="Z51" s="49" t="n"/>
      <c r="AA51" s="49" t="n"/>
      <c r="AB51" s="51" t="n"/>
      <c r="AC51" s="52" t="n"/>
      <c r="AD51" s="53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M947" s="57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M948" s="57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M949" s="57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M950" s="57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M951" s="57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M952" s="57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M953" s="57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M954" s="57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M955" s="57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M956" s="57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M957" s="57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M958" s="57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M959" s="57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M960" s="57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M961" s="57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M962" s="57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M963" s="57" t="n"/>
      <c r="W963" s="54" t="n"/>
      <c r="X963" s="54" t="n"/>
      <c r="Y963" s="54" t="n"/>
      <c r="Z963" s="54" t="n"/>
      <c r="AA963" s="54" t="n"/>
      <c r="AB963" s="54" t="n"/>
      <c r="AC963" s="54" t="n"/>
    </row>
    <row r="964">
      <c r="E964" s="54" t="n"/>
      <c r="F964" s="54" t="n"/>
      <c r="G964" s="55" t="n"/>
      <c r="J964" s="54" t="n"/>
      <c r="K964" s="54" t="n"/>
      <c r="L964" s="54" t="n"/>
      <c r="M964" s="57" t="n"/>
      <c r="W964" s="54" t="n"/>
      <c r="X964" s="54" t="n"/>
      <c r="Y964" s="54" t="n"/>
      <c r="Z964" s="54" t="n"/>
      <c r="AA964" s="54" t="n"/>
      <c r="AB964" s="54" t="n"/>
      <c r="AC964" s="54" t="n"/>
    </row>
    <row r="965">
      <c r="E965" s="54" t="n"/>
      <c r="F965" s="54" t="n"/>
      <c r="G965" s="55" t="n"/>
      <c r="J965" s="54" t="n"/>
      <c r="K965" s="54" t="n"/>
      <c r="L965" s="54" t="n"/>
      <c r="M965" s="57" t="n"/>
      <c r="W965" s="54" t="n"/>
      <c r="X965" s="54" t="n"/>
      <c r="Y965" s="54" t="n"/>
      <c r="Z965" s="54" t="n"/>
      <c r="AA965" s="54" t="n"/>
      <c r="AB965" s="54" t="n"/>
      <c r="AC965" s="54" t="n"/>
    </row>
    <row r="966">
      <c r="E966" s="54" t="n"/>
      <c r="F966" s="54" t="n"/>
      <c r="G966" s="55" t="n"/>
      <c r="J966" s="54" t="n"/>
      <c r="K966" s="54" t="n"/>
      <c r="L966" s="54" t="n"/>
      <c r="M966" s="57" t="n"/>
      <c r="W966" s="54" t="n"/>
      <c r="X966" s="54" t="n"/>
      <c r="Y966" s="54" t="n"/>
      <c r="Z966" s="54" t="n"/>
      <c r="AA966" s="54" t="n"/>
      <c r="AB966" s="54" t="n"/>
      <c r="AC966" s="54" t="n"/>
    </row>
    <row r="967">
      <c r="E967" s="54" t="n"/>
      <c r="F967" s="54" t="n"/>
      <c r="G967" s="55" t="n"/>
      <c r="J967" s="54" t="n"/>
      <c r="K967" s="54" t="n"/>
      <c r="L967" s="54" t="n"/>
      <c r="M967" s="57" t="n"/>
      <c r="W967" s="54" t="n"/>
      <c r="X967" s="54" t="n"/>
      <c r="Y967" s="54" t="n"/>
      <c r="Z967" s="54" t="n"/>
      <c r="AA967" s="54" t="n"/>
      <c r="AB967" s="54" t="n"/>
      <c r="AC967" s="54" t="n"/>
    </row>
    <row r="968">
      <c r="E968" s="54" t="n"/>
      <c r="F968" s="54" t="n"/>
      <c r="G968" s="55" t="n"/>
      <c r="J968" s="54" t="n"/>
      <c r="K968" s="54" t="n"/>
      <c r="L968" s="54" t="n"/>
      <c r="M968" s="57" t="n"/>
      <c r="W968" s="54" t="n"/>
      <c r="X968" s="54" t="n"/>
      <c r="Y968" s="54" t="n"/>
      <c r="Z968" s="54" t="n"/>
      <c r="AA968" s="54" t="n"/>
      <c r="AB968" s="54" t="n"/>
      <c r="AC968" s="54" t="n"/>
    </row>
    <row r="969">
      <c r="E969" s="54" t="n"/>
      <c r="F969" s="54" t="n"/>
      <c r="G969" s="55" t="n"/>
      <c r="J969" s="54" t="n"/>
      <c r="K969" s="54" t="n"/>
      <c r="L969" s="54" t="n"/>
      <c r="M969" s="57" t="n"/>
      <c r="W969" s="54" t="n"/>
      <c r="X969" s="54" t="n"/>
      <c r="Y969" s="54" t="n"/>
      <c r="Z969" s="54" t="n"/>
      <c r="AA969" s="54" t="n"/>
      <c r="AB969" s="54" t="n"/>
      <c r="AC969" s="54" t="n"/>
    </row>
    <row r="970">
      <c r="E970" s="54" t="n"/>
      <c r="F970" s="54" t="n"/>
      <c r="G970" s="55" t="n"/>
      <c r="J970" s="54" t="n"/>
      <c r="K970" s="54" t="n"/>
      <c r="L970" s="54" t="n"/>
      <c r="M970" s="57" t="n"/>
      <c r="W970" s="54" t="n"/>
      <c r="X970" s="54" t="n"/>
      <c r="Y970" s="54" t="n"/>
      <c r="Z970" s="54" t="n"/>
      <c r="AA970" s="54" t="n"/>
      <c r="AB970" s="54" t="n"/>
      <c r="AC970" s="54" t="n"/>
    </row>
    <row r="971">
      <c r="E971" s="54" t="n"/>
      <c r="F971" s="54" t="n"/>
      <c r="G971" s="55" t="n"/>
      <c r="J971" s="54" t="n"/>
      <c r="K971" s="54" t="n"/>
      <c r="L971" s="54" t="n"/>
      <c r="M971" s="57" t="n"/>
      <c r="W971" s="54" t="n"/>
      <c r="X971" s="54" t="n"/>
      <c r="Y971" s="54" t="n"/>
      <c r="Z971" s="54" t="n"/>
      <c r="AA971" s="54" t="n"/>
      <c r="AB971" s="54" t="n"/>
      <c r="AC971" s="54" t="n"/>
    </row>
    <row r="972">
      <c r="E972" s="54" t="n"/>
      <c r="F972" s="54" t="n"/>
      <c r="G972" s="55" t="n"/>
      <c r="J972" s="54" t="n"/>
      <c r="K972" s="54" t="n"/>
      <c r="L972" s="54" t="n"/>
      <c r="M972" s="57" t="n"/>
      <c r="W972" s="54" t="n"/>
      <c r="X972" s="54" t="n"/>
      <c r="Y972" s="54" t="n"/>
      <c r="Z972" s="54" t="n"/>
      <c r="AA972" s="54" t="n"/>
      <c r="AB972" s="54" t="n"/>
      <c r="AC972" s="54" t="n"/>
    </row>
    <row r="973">
      <c r="E973" s="54" t="n"/>
      <c r="F973" s="54" t="n"/>
      <c r="G973" s="55" t="n"/>
      <c r="J973" s="54" t="n"/>
      <c r="K973" s="54" t="n"/>
      <c r="L973" s="54" t="n"/>
      <c r="M973" s="57" t="n"/>
      <c r="W973" s="54" t="n"/>
      <c r="X973" s="54" t="n"/>
      <c r="Y973" s="54" t="n"/>
      <c r="Z973" s="54" t="n"/>
      <c r="AA973" s="54" t="n"/>
      <c r="AB973" s="54" t="n"/>
      <c r="AC973" s="54" t="n"/>
    </row>
    <row r="974">
      <c r="E974" s="54" t="n"/>
      <c r="F974" s="54" t="n"/>
      <c r="G974" s="55" t="n"/>
      <c r="J974" s="54" t="n"/>
      <c r="K974" s="54" t="n"/>
      <c r="L974" s="54" t="n"/>
      <c r="M974" s="57" t="n"/>
      <c r="W974" s="54" t="n"/>
      <c r="X974" s="54" t="n"/>
      <c r="Y974" s="54" t="n"/>
      <c r="Z974" s="54" t="n"/>
      <c r="AA974" s="54" t="n"/>
      <c r="AB974" s="54" t="n"/>
      <c r="AC974" s="54" t="n"/>
    </row>
    <row r="975">
      <c r="E975" s="54" t="n"/>
      <c r="F975" s="54" t="n"/>
      <c r="G975" s="55" t="n"/>
      <c r="J975" s="54" t="n"/>
      <c r="K975" s="54" t="n"/>
      <c r="L975" s="54" t="n"/>
      <c r="M975" s="57" t="n"/>
      <c r="W975" s="54" t="n"/>
      <c r="X975" s="54" t="n"/>
      <c r="Y975" s="54" t="n"/>
      <c r="Z975" s="54" t="n"/>
      <c r="AA975" s="54" t="n"/>
      <c r="AB975" s="54" t="n"/>
      <c r="AC975" s="54" t="n"/>
    </row>
    <row r="976">
      <c r="E976" s="54" t="n"/>
      <c r="F976" s="54" t="n"/>
      <c r="G976" s="55" t="n"/>
      <c r="J976" s="54" t="n"/>
      <c r="K976" s="54" t="n"/>
      <c r="L976" s="54" t="n"/>
      <c r="M976" s="57" t="n"/>
      <c r="W976" s="54" t="n"/>
      <c r="X976" s="54" t="n"/>
      <c r="Y976" s="54" t="n"/>
      <c r="Z976" s="54" t="n"/>
      <c r="AA976" s="54" t="n"/>
      <c r="AB976" s="54" t="n"/>
      <c r="AC976" s="54" t="n"/>
    </row>
    <row r="977">
      <c r="E977" s="54" t="n"/>
      <c r="F977" s="54" t="n"/>
      <c r="G977" s="55" t="n"/>
      <c r="J977" s="54" t="n"/>
      <c r="K977" s="54" t="n"/>
      <c r="L977" s="54" t="n"/>
      <c r="M977" s="57" t="n"/>
      <c r="W977" s="54" t="n"/>
      <c r="X977" s="54" t="n"/>
      <c r="Y977" s="54" t="n"/>
      <c r="Z977" s="54" t="n"/>
      <c r="AA977" s="54" t="n"/>
      <c r="AB977" s="54" t="n"/>
      <c r="AC977" s="54" t="n"/>
    </row>
    <row r="978">
      <c r="E978" s="54" t="n"/>
      <c r="F978" s="54" t="n"/>
      <c r="G978" s="55" t="n"/>
      <c r="J978" s="54" t="n"/>
      <c r="K978" s="54" t="n"/>
      <c r="L978" s="54" t="n"/>
      <c r="M978" s="57" t="n"/>
      <c r="W978" s="54" t="n"/>
      <c r="X978" s="54" t="n"/>
      <c r="Y978" s="54" t="n"/>
      <c r="Z978" s="54" t="n"/>
      <c r="AA978" s="54" t="n"/>
      <c r="AB978" s="54" t="n"/>
      <c r="AC978" s="54" t="n"/>
    </row>
    <row r="979">
      <c r="E979" s="54" t="n"/>
      <c r="F979" s="54" t="n"/>
      <c r="G979" s="55" t="n"/>
      <c r="J979" s="54" t="n"/>
      <c r="K979" s="54" t="n"/>
      <c r="L979" s="54" t="n"/>
      <c r="M979" s="57" t="n"/>
      <c r="W979" s="54" t="n"/>
      <c r="X979" s="54" t="n"/>
      <c r="Y979" s="54" t="n"/>
      <c r="Z979" s="54" t="n"/>
      <c r="AA979" s="54" t="n"/>
      <c r="AB979" s="54" t="n"/>
      <c r="AC979" s="54" t="n"/>
    </row>
    <row r="980">
      <c r="E980" s="54" t="n"/>
      <c r="F980" s="54" t="n"/>
      <c r="G980" s="55" t="n"/>
      <c r="J980" s="54" t="n"/>
      <c r="K980" s="54" t="n"/>
      <c r="L980" s="54" t="n"/>
      <c r="M980" s="57" t="n"/>
      <c r="W980" s="54" t="n"/>
      <c r="X980" s="54" t="n"/>
      <c r="Y980" s="54" t="n"/>
      <c r="Z980" s="54" t="n"/>
      <c r="AA980" s="54" t="n"/>
      <c r="AB980" s="54" t="n"/>
      <c r="AC980" s="54" t="n"/>
    </row>
    <row r="981">
      <c r="E981" s="54" t="n"/>
      <c r="F981" s="54" t="n"/>
      <c r="G981" s="55" t="n"/>
      <c r="J981" s="54" t="n"/>
      <c r="K981" s="54" t="n"/>
      <c r="L981" s="54" t="n"/>
      <c r="M981" s="57" t="n"/>
      <c r="W981" s="54" t="n"/>
      <c r="X981" s="54" t="n"/>
      <c r="Y981" s="54" t="n"/>
      <c r="Z981" s="54" t="n"/>
      <c r="AA981" s="54" t="n"/>
      <c r="AB981" s="54" t="n"/>
      <c r="AC981" s="54" t="n"/>
    </row>
    <row r="982">
      <c r="E982" s="54" t="n"/>
      <c r="F982" s="54" t="n"/>
      <c r="G982" s="55" t="n"/>
      <c r="J982" s="54" t="n"/>
      <c r="K982" s="54" t="n"/>
      <c r="L982" s="54" t="n"/>
      <c r="M982" s="57" t="n"/>
      <c r="W982" s="54" t="n"/>
      <c r="X982" s="54" t="n"/>
      <c r="Y982" s="54" t="n"/>
      <c r="Z982" s="54" t="n"/>
      <c r="AA982" s="54" t="n"/>
      <c r="AB982" s="54" t="n"/>
      <c r="AC982" s="54" t="n"/>
    </row>
    <row r="983">
      <c r="E983" s="54" t="n"/>
      <c r="F983" s="54" t="n"/>
      <c r="G983" s="55" t="n"/>
      <c r="J983" s="54" t="n"/>
      <c r="K983" s="54" t="n"/>
      <c r="L983" s="54" t="n"/>
      <c r="M983" s="57" t="n"/>
      <c r="W983" s="54" t="n"/>
      <c r="X983" s="54" t="n"/>
      <c r="Y983" s="54" t="n"/>
      <c r="Z983" s="54" t="n"/>
      <c r="AA983" s="54" t="n"/>
      <c r="AB983" s="54" t="n"/>
      <c r="AC983" s="54" t="n"/>
    </row>
    <row r="984">
      <c r="E984" s="54" t="n"/>
      <c r="F984" s="54" t="n"/>
      <c r="G984" s="55" t="n"/>
      <c r="J984" s="54" t="n"/>
      <c r="K984" s="54" t="n"/>
      <c r="L984" s="54" t="n"/>
      <c r="M984" s="57" t="n"/>
      <c r="W984" s="54" t="n"/>
      <c r="X984" s="54" t="n"/>
      <c r="Y984" s="54" t="n"/>
      <c r="Z984" s="54" t="n"/>
      <c r="AA984" s="54" t="n"/>
      <c r="AB984" s="54" t="n"/>
      <c r="AC984" s="54" t="n"/>
    </row>
    <row r="985">
      <c r="E985" s="54" t="n"/>
      <c r="F985" s="54" t="n"/>
      <c r="G985" s="55" t="n"/>
      <c r="J985" s="54" t="n"/>
      <c r="K985" s="54" t="n"/>
      <c r="L985" s="54" t="n"/>
      <c r="M985" s="57" t="n"/>
      <c r="W985" s="54" t="n"/>
      <c r="X985" s="54" t="n"/>
      <c r="Y985" s="54" t="n"/>
      <c r="Z985" s="54" t="n"/>
      <c r="AA985" s="54" t="n"/>
      <c r="AB985" s="54" t="n"/>
      <c r="AC985" s="54" t="n"/>
    </row>
    <row r="986">
      <c r="E986" s="54" t="n"/>
      <c r="F986" s="54" t="n"/>
      <c r="G986" s="55" t="n"/>
      <c r="J986" s="54" t="n"/>
      <c r="K986" s="54" t="n"/>
      <c r="L986" s="54" t="n"/>
      <c r="M986" s="57" t="n"/>
      <c r="W986" s="54" t="n"/>
      <c r="X986" s="54" t="n"/>
      <c r="Y986" s="54" t="n"/>
      <c r="Z986" s="54" t="n"/>
      <c r="AA986" s="54" t="n"/>
      <c r="AB986" s="54" t="n"/>
      <c r="AC986" s="54" t="n"/>
    </row>
    <row r="987">
      <c r="E987" s="54" t="n"/>
      <c r="F987" s="54" t="n"/>
      <c r="G987" s="55" t="n"/>
      <c r="J987" s="54" t="n"/>
      <c r="K987" s="54" t="n"/>
      <c r="L987" s="54" t="n"/>
      <c r="M987" s="57" t="n"/>
      <c r="W987" s="54" t="n"/>
      <c r="X987" s="54" t="n"/>
      <c r="Y987" s="54" t="n"/>
      <c r="Z987" s="54" t="n"/>
      <c r="AA987" s="54" t="n"/>
      <c r="AB987" s="54" t="n"/>
      <c r="AC987" s="54" t="n"/>
    </row>
    <row r="988">
      <c r="E988" s="54" t="n"/>
      <c r="F988" s="54" t="n"/>
      <c r="G988" s="55" t="n"/>
      <c r="J988" s="54" t="n"/>
      <c r="K988" s="54" t="n"/>
      <c r="L988" s="54" t="n"/>
      <c r="W988" s="54" t="n"/>
      <c r="X988" s="54" t="n"/>
      <c r="Y988" s="54" t="n"/>
      <c r="Z988" s="54" t="n"/>
      <c r="AA988" s="54" t="n"/>
      <c r="AB988" s="54" t="n"/>
      <c r="AC988" s="54" t="n"/>
    </row>
    <row r="989">
      <c r="E989" s="54" t="n"/>
      <c r="F989" s="54" t="n"/>
      <c r="G989" s="55" t="n"/>
      <c r="J989" s="54" t="n"/>
      <c r="K989" s="54" t="n"/>
      <c r="L989" s="54" t="n"/>
      <c r="W989" s="54" t="n"/>
      <c r="X989" s="54" t="n"/>
      <c r="Y989" s="54" t="n"/>
      <c r="Z989" s="54" t="n"/>
      <c r="AA989" s="54" t="n"/>
      <c r="AB989" s="54" t="n"/>
      <c r="AC989" s="54" t="n"/>
    </row>
    <row r="990">
      <c r="E990" s="54" t="n"/>
      <c r="F990" s="54" t="n"/>
      <c r="G990" s="55" t="n"/>
      <c r="J990" s="54" t="n"/>
      <c r="K990" s="54" t="n"/>
      <c r="L990" s="54" t="n"/>
      <c r="W990" s="54" t="n"/>
      <c r="X990" s="54" t="n"/>
      <c r="Y990" s="54" t="n"/>
      <c r="Z990" s="54" t="n"/>
      <c r="AA990" s="54" t="n"/>
      <c r="AB990" s="54" t="n"/>
      <c r="AC990" s="54" t="n"/>
    </row>
    <row r="991">
      <c r="E991" s="54" t="n"/>
      <c r="F991" s="54" t="n"/>
      <c r="G991" s="55" t="n"/>
      <c r="J991" s="54" t="n"/>
      <c r="K991" s="54" t="n"/>
      <c r="L991" s="54" t="n"/>
      <c r="W991" s="54" t="n"/>
      <c r="X991" s="54" t="n"/>
      <c r="Y991" s="54" t="n"/>
      <c r="Z991" s="54" t="n"/>
      <c r="AA991" s="54" t="n"/>
      <c r="AB991" s="54" t="n"/>
      <c r="AC991" s="54" t="n"/>
    </row>
    <row r="992">
      <c r="E992" s="54" t="n"/>
      <c r="F992" s="54" t="n"/>
      <c r="G992" s="55" t="n"/>
      <c r="J992" s="54" t="n"/>
      <c r="K992" s="54" t="n"/>
      <c r="L992" s="54" t="n"/>
      <c r="W992" s="54" t="n"/>
      <c r="X992" s="54" t="n"/>
      <c r="Y992" s="54" t="n"/>
      <c r="Z992" s="54" t="n"/>
      <c r="AA992" s="54" t="n"/>
      <c r="AB992" s="54" t="n"/>
      <c r="AC992" s="54" t="n"/>
    </row>
    <row r="993">
      <c r="E993" s="54" t="n"/>
      <c r="F993" s="54" t="n"/>
      <c r="G993" s="55" t="n"/>
      <c r="J993" s="54" t="n"/>
      <c r="K993" s="54" t="n"/>
      <c r="L993" s="54" t="n"/>
      <c r="W993" s="54" t="n"/>
      <c r="X993" s="54" t="n"/>
      <c r="Y993" s="54" t="n"/>
      <c r="Z993" s="54" t="n"/>
      <c r="AA993" s="54" t="n"/>
      <c r="AB993" s="54" t="n"/>
      <c r="AC993" s="54" t="n"/>
    </row>
    <row r="994">
      <c r="E994" s="54" t="n"/>
      <c r="F994" s="54" t="n"/>
      <c r="G994" s="55" t="n"/>
      <c r="J994" s="54" t="n"/>
      <c r="K994" s="54" t="n"/>
      <c r="L994" s="54" t="n"/>
      <c r="W994" s="54" t="n"/>
      <c r="X994" s="54" t="n"/>
      <c r="Y994" s="54" t="n"/>
      <c r="Z994" s="54" t="n"/>
      <c r="AA994" s="54" t="n"/>
      <c r="AB994" s="54" t="n"/>
      <c r="AC994" s="54" t="n"/>
    </row>
    <row r="995">
      <c r="E995" s="54" t="n"/>
      <c r="F995" s="54" t="n"/>
      <c r="G995" s="55" t="n"/>
      <c r="J995" s="54" t="n"/>
      <c r="K995" s="54" t="n"/>
      <c r="L995" s="54" t="n"/>
      <c r="W995" s="54" t="n"/>
      <c r="X995" s="54" t="n"/>
      <c r="Y995" s="54" t="n"/>
      <c r="Z995" s="54" t="n"/>
      <c r="AA995" s="54" t="n"/>
      <c r="AB995" s="54" t="n"/>
      <c r="AC995" s="54" t="n"/>
    </row>
    <row r="996">
      <c r="E996" s="54" t="n"/>
      <c r="F996" s="54" t="n"/>
      <c r="G996" s="55" t="n"/>
      <c r="J996" s="54" t="n"/>
      <c r="K996" s="54" t="n"/>
      <c r="L996" s="54" t="n"/>
      <c r="W996" s="54" t="n"/>
      <c r="X996" s="54" t="n"/>
      <c r="Y996" s="54" t="n"/>
      <c r="Z996" s="54" t="n"/>
      <c r="AA996" s="54" t="n"/>
      <c r="AB996" s="54" t="n"/>
      <c r="AC996" s="54" t="n"/>
    </row>
    <row r="997">
      <c r="E997" s="54" t="n"/>
      <c r="F997" s="54" t="n"/>
      <c r="G997" s="55" t="n"/>
      <c r="J997" s="54" t="n"/>
      <c r="K997" s="54" t="n"/>
      <c r="L997" s="54" t="n"/>
      <c r="W997" s="54" t="n"/>
      <c r="X997" s="54" t="n"/>
      <c r="Y997" s="54" t="n"/>
      <c r="Z997" s="54" t="n"/>
      <c r="AA997" s="54" t="n"/>
      <c r="AB997" s="54" t="n"/>
      <c r="AC997" s="54" t="n"/>
    </row>
    <row r="998">
      <c r="E998" s="54" t="n"/>
      <c r="F998" s="54" t="n"/>
      <c r="G998" s="55" t="n"/>
      <c r="J998" s="54" t="n"/>
      <c r="K998" s="54" t="n"/>
      <c r="L998" s="54" t="n"/>
      <c r="W998" s="54" t="n"/>
      <c r="X998" s="54" t="n"/>
      <c r="Y998" s="54" t="n"/>
      <c r="Z998" s="54" t="n"/>
      <c r="AA998" s="54" t="n"/>
      <c r="AB998" s="54" t="n"/>
      <c r="AC998" s="54" t="n"/>
    </row>
    <row r="999">
      <c r="E999" s="54" t="n"/>
      <c r="F999" s="54" t="n"/>
      <c r="G999" s="55" t="n"/>
      <c r="J999" s="54" t="n"/>
      <c r="K999" s="54" t="n"/>
      <c r="L999" s="54" t="n"/>
      <c r="W999" s="54" t="n"/>
      <c r="X999" s="54" t="n"/>
      <c r="Y999" s="54" t="n"/>
      <c r="Z999" s="54" t="n"/>
      <c r="AA999" s="54" t="n"/>
      <c r="AB999" s="54" t="n"/>
      <c r="AC999" s="54" t="n"/>
    </row>
    <row r="1000">
      <c r="E1000" s="54" t="n"/>
      <c r="F1000" s="54" t="n"/>
      <c r="G1000" s="55" t="n"/>
      <c r="J1000" s="54" t="n"/>
      <c r="K1000" s="54" t="n"/>
      <c r="L1000" s="54" t="n"/>
      <c r="W1000" s="54" t="n"/>
      <c r="X1000" s="54" t="n"/>
      <c r="Y1000" s="54" t="n"/>
      <c r="Z1000" s="54" t="n"/>
      <c r="AA1000" s="54" t="n"/>
      <c r="AB1000" s="54" t="n"/>
      <c r="AC1000" s="54" t="n"/>
    </row>
    <row r="1001">
      <c r="E1001" s="54" t="n"/>
      <c r="F1001" s="54" t="n"/>
      <c r="G1001" s="55" t="n"/>
      <c r="J1001" s="54" t="n"/>
      <c r="K1001" s="54" t="n"/>
      <c r="L1001" s="54" t="n"/>
      <c r="W1001" s="54" t="n"/>
      <c r="X1001" s="54" t="n"/>
      <c r="Y1001" s="54" t="n"/>
      <c r="Z1001" s="54" t="n"/>
      <c r="AA1001" s="54" t="n"/>
      <c r="AB1001" s="54" t="n"/>
      <c r="AC1001" s="54" t="n"/>
    </row>
    <row r="1002">
      <c r="E1002" s="54" t="n"/>
      <c r="F1002" s="54" t="n"/>
      <c r="G1002" s="55" t="n"/>
      <c r="J1002" s="54" t="n"/>
      <c r="K1002" s="54" t="n"/>
      <c r="L1002" s="54" t="n"/>
      <c r="W1002" s="54" t="n"/>
      <c r="X1002" s="54" t="n"/>
      <c r="Y1002" s="54" t="n"/>
      <c r="Z1002" s="54" t="n"/>
      <c r="AA1002" s="54" t="n"/>
      <c r="AB1002" s="54" t="n"/>
      <c r="AC1002" s="54" t="n"/>
    </row>
    <row r="1003">
      <c r="E1003" s="54" t="n"/>
      <c r="F1003" s="54" t="n"/>
      <c r="G1003" s="55" t="n"/>
      <c r="J1003" s="54" t="n"/>
      <c r="K1003" s="54" t="n"/>
      <c r="L1003" s="54" t="n"/>
      <c r="W1003" s="54" t="n"/>
      <c r="X1003" s="54" t="n"/>
      <c r="Y1003" s="54" t="n"/>
      <c r="Z1003" s="54" t="n"/>
      <c r="AA1003" s="54" t="n"/>
      <c r="AB1003" s="54" t="n"/>
      <c r="AC1003" s="54" t="n"/>
    </row>
    <row r="1004">
      <c r="E1004" s="54" t="n"/>
      <c r="F1004" s="54" t="n"/>
      <c r="G1004" s="55" t="n"/>
      <c r="J1004" s="54" t="n"/>
      <c r="K1004" s="54" t="n"/>
      <c r="L1004" s="54" t="n"/>
      <c r="W1004" s="54" t="n"/>
      <c r="X1004" s="54" t="n"/>
      <c r="Y1004" s="54" t="n"/>
      <c r="Z1004" s="54" t="n"/>
      <c r="AA1004" s="54" t="n"/>
      <c r="AB1004" s="54" t="n"/>
      <c r="AC1004" s="54" t="n"/>
    </row>
  </sheetData>
  <autoFilter ref="$A$4:$AO$38"/>
  <mergeCells count="5">
    <mergeCell ref="W2:AC3"/>
    <mergeCell ref="S3:V3"/>
    <mergeCell ref="K2:V2"/>
    <mergeCell ref="K3:N3"/>
    <mergeCell ref="O3:R3"/>
  </mergeCells>
  <conditionalFormatting sqref="C1:C96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8">
    <cfRule type="expression" priority="5" dxfId="1">
      <formula>NOT(ISBLANK($W5))</formula>
    </cfRule>
  </conditionalFormatting>
  <conditionalFormatting sqref="K5:K8 O5:O8 S5:S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NSE:RVNL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""price"")"),313.3)</f>
        <v/>
      </c>
      <c r="D2" s="57" t="n"/>
      <c r="E2" s="60" t="inlineStr">
        <is>
          <t>Commission</t>
        </is>
      </c>
      <c r="F2" s="59" t="n">
        <v>0.007</v>
      </c>
      <c r="G2" s="57" t="n"/>
      <c r="J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""high52"")"),447.8)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""low52"")"),301.2)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History'!$B9:$B1007,"DIV",'Trading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2" t="n"/>
      <c r="L90" s="2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2026-02-07T07:12:25Z</dcterms:created>
  <dcterms:modified xmlns:dcterms="http://purl.org/dc/terms/" xmlns:xsi="http://www.w3.org/2001/XMLSchema-instance" xsi:type="dcterms:W3CDTF">2026-02-07T07:12:25Z</dcterms:modified>
</cp:coreProperties>
</file>