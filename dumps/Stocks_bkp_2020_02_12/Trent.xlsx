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A2194B1_00E2_46D6_AC8E_DCAB7912493C_.wvu.FilterData" localSheetId="0" hidden="1">'Trading History'!$A$4:$AO$41</definedName>
    <definedName name="_xlnm._FilterDatabase" localSheetId="0" hidden="1">'Trading History'!$A$4:$AO$41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8" t="n">
        <v>46059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4077.8</v>
      </c>
      <c r="F5" t="n">
        <v>4098.19</v>
      </c>
      <c r="G5" t="inlineStr">
        <is>
          <t>CN#252611604850</t>
        </is>
      </c>
      <c r="I5" t="n">
        <v>20.39</v>
      </c>
      <c r="J5">
        <f>Index!$C$2</f>
        <v/>
      </c>
    </row>
    <row r="6">
      <c r="A6" s="88" t="n">
        <v>46063</v>
      </c>
      <c r="B6" s="0" t="inlineStr">
        <is>
          <t>NSE</t>
        </is>
      </c>
      <c r="C6" s="0" t="inlineStr">
        <is>
          <t>Buy</t>
        </is>
      </c>
      <c r="D6" s="0" t="n">
        <v>1</v>
      </c>
      <c r="E6" s="0" t="n">
        <v>4175.9</v>
      </c>
      <c r="F6" s="0" t="n">
        <v>4205.49</v>
      </c>
      <c r="G6" s="0" t="inlineStr">
        <is>
          <t>CN#252611730667</t>
        </is>
      </c>
      <c r="H6" s="0" t="n">
        <v>4.17</v>
      </c>
      <c r="I6" s="0" t="n">
        <v>25.42</v>
      </c>
      <c r="J6" s="0">
        <f>Index!$C$2</f>
        <v/>
      </c>
    </row>
    <row r="7">
      <c r="A7" s="87" t="n">
        <v>46049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3754.3</v>
      </c>
      <c r="F7" s="0" t="n">
        <v>7561.81</v>
      </c>
      <c r="G7" s="0" t="inlineStr">
        <is>
          <t>~</t>
        </is>
      </c>
      <c r="H7" s="0" t="n">
        <v>7.49</v>
      </c>
      <c r="I7" s="0" t="n">
        <v>45.72</v>
      </c>
    </row>
    <row r="8">
      <c r="A8" s="87" t="n">
        <v>46038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3951.8</v>
      </c>
      <c r="F8" s="0" t="n">
        <v>3979.79</v>
      </c>
      <c r="G8" s="0" t="inlineStr">
        <is>
          <t>~</t>
        </is>
      </c>
      <c r="H8" s="0" t="n">
        <v>3.95</v>
      </c>
      <c r="I8" s="0" t="n">
        <v>24.04</v>
      </c>
    </row>
    <row r="9">
      <c r="A9" s="87" t="n">
        <v>46034</v>
      </c>
      <c r="B9" s="0" t="inlineStr">
        <is>
          <t>NSE</t>
        </is>
      </c>
      <c r="C9" s="0" t="inlineStr">
        <is>
          <t>Buy</t>
        </is>
      </c>
      <c r="D9" s="0" t="n">
        <v>2</v>
      </c>
      <c r="E9" s="0" t="n">
        <v>4016.9</v>
      </c>
      <c r="F9" s="0" t="n">
        <v>8090.73</v>
      </c>
      <c r="G9" s="0" t="inlineStr">
        <is>
          <t>~</t>
        </is>
      </c>
      <c r="H9" s="0" t="n">
        <v>8.050000000000001</v>
      </c>
      <c r="I9" s="0" t="n">
        <v>48.88</v>
      </c>
    </row>
    <row r="10">
      <c r="A10" s="87" t="n">
        <v>46020</v>
      </c>
      <c r="B10" s="0" t="inlineStr">
        <is>
          <t>NSE</t>
        </is>
      </c>
      <c r="C10" s="0" t="inlineStr">
        <is>
          <t>Buy</t>
        </is>
      </c>
      <c r="D10" s="0" t="n">
        <v>1</v>
      </c>
      <c r="E10" s="0" t="n">
        <v>4246.3</v>
      </c>
      <c r="F10" s="0" t="n">
        <v>4276.43</v>
      </c>
      <c r="G10" s="0" t="inlineStr">
        <is>
          <t>~</t>
        </is>
      </c>
      <c r="H10" s="0" t="n">
        <v>4.27</v>
      </c>
      <c r="I10" s="0" t="n">
        <v>25.86</v>
      </c>
    </row>
    <row r="11">
      <c r="A11" s="87" t="n">
        <v>46017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4296.1</v>
      </c>
      <c r="F11" s="0" t="n">
        <v>4326.54</v>
      </c>
      <c r="G11" s="0" t="inlineStr">
        <is>
          <t>~</t>
        </is>
      </c>
      <c r="H11" s="0" t="n">
        <v>4.31</v>
      </c>
      <c r="I11" s="0" t="n">
        <v>26.13</v>
      </c>
    </row>
    <row r="12">
      <c r="A12" s="87" t="n">
        <v>46015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4204</v>
      </c>
      <c r="F12" s="0" t="n">
        <v>4233.77</v>
      </c>
      <c r="G12" s="0" t="inlineStr">
        <is>
          <t>~</t>
        </is>
      </c>
      <c r="H12" s="0" t="n">
        <v>4.18</v>
      </c>
      <c r="I12" s="0" t="n">
        <v>25.59</v>
      </c>
    </row>
    <row r="13">
      <c r="A13" s="87" t="n">
        <v>46014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4229</v>
      </c>
      <c r="F13" s="0" t="n">
        <v>4258.93</v>
      </c>
      <c r="G13" s="0" t="inlineStr">
        <is>
          <t>~</t>
        </is>
      </c>
      <c r="H13" s="0" t="n">
        <v>4.21</v>
      </c>
      <c r="I13" s="0" t="n">
        <v>25.72</v>
      </c>
    </row>
    <row r="14">
      <c r="A14" s="87" t="n">
        <v>46009</v>
      </c>
      <c r="B14" s="0" t="inlineStr">
        <is>
          <t>BSE</t>
        </is>
      </c>
      <c r="C14" s="0" t="inlineStr">
        <is>
          <t>Buy</t>
        </is>
      </c>
      <c r="D14" s="0" t="n">
        <v>1</v>
      </c>
      <c r="E14" s="0" t="n">
        <v>4008.4</v>
      </c>
      <c r="F14" s="0" t="n">
        <v>4036.82</v>
      </c>
      <c r="G14" s="0" t="inlineStr">
        <is>
          <t>~</t>
        </is>
      </c>
      <c r="H14" s="0" t="n">
        <v>4.02</v>
      </c>
      <c r="I14" s="0" t="n">
        <v>24.4</v>
      </c>
    </row>
    <row r="15">
      <c r="A15" s="87" t="n">
        <v>46007</v>
      </c>
      <c r="B15" s="0" t="inlineStr">
        <is>
          <t>NSE</t>
        </is>
      </c>
      <c r="C15" s="0" t="inlineStr">
        <is>
          <t>Buy</t>
        </is>
      </c>
      <c r="D15" s="0" t="n">
        <v>2</v>
      </c>
      <c r="E15" s="0" t="n">
        <v>4109.8</v>
      </c>
      <c r="F15" s="0" t="n">
        <v>8277.870000000001</v>
      </c>
      <c r="G15" s="0" t="inlineStr">
        <is>
          <t>~</t>
        </is>
      </c>
      <c r="H15" s="0" t="n">
        <v>8.199999999999999</v>
      </c>
      <c r="I15" s="0" t="n">
        <v>50.07</v>
      </c>
    </row>
    <row r="16">
      <c r="A16" s="87" t="n">
        <v>45978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4404.5</v>
      </c>
      <c r="F16" s="0" t="n">
        <v>4435.71</v>
      </c>
      <c r="G16" s="0" t="inlineStr">
        <is>
          <t>~</t>
        </is>
      </c>
      <c r="H16" s="0" t="n">
        <v>4.42</v>
      </c>
      <c r="I16" s="0" t="n">
        <v>26.79</v>
      </c>
    </row>
    <row r="17">
      <c r="A17" s="87" t="n">
        <v>45975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4342.1</v>
      </c>
      <c r="F17" s="0" t="n">
        <v>4372.84</v>
      </c>
      <c r="G17" s="0" t="inlineStr">
        <is>
          <t>~</t>
        </is>
      </c>
      <c r="H17" s="0" t="n">
        <v>4.35</v>
      </c>
      <c r="I17" s="0" t="n">
        <v>26.39</v>
      </c>
    </row>
    <row r="18">
      <c r="A18" s="87" t="n">
        <v>45974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4374</v>
      </c>
      <c r="F18" s="0" t="n">
        <v>4404.99</v>
      </c>
      <c r="G18" s="0" t="inlineStr">
        <is>
          <t>~</t>
        </is>
      </c>
      <c r="H18" s="0" t="n">
        <v>4.35</v>
      </c>
      <c r="I18" s="0" t="n">
        <v>26.64</v>
      </c>
    </row>
    <row r="19">
      <c r="A19" s="87" t="n">
        <v>45971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4276</v>
      </c>
      <c r="F19" s="0" t="n">
        <v>4306.25</v>
      </c>
      <c r="G19" s="0" t="inlineStr">
        <is>
          <t>~</t>
        </is>
      </c>
      <c r="H19" s="0" t="n">
        <v>4.26</v>
      </c>
      <c r="I19" s="0" t="n">
        <v>25.99</v>
      </c>
    </row>
    <row r="20">
      <c r="A20" s="87" t="n">
        <v>45968</v>
      </c>
      <c r="B20" s="0" t="inlineStr">
        <is>
          <t>BSE</t>
        </is>
      </c>
      <c r="C20" s="0" t="inlineStr">
        <is>
          <t>Buy</t>
        </is>
      </c>
      <c r="D20" s="0" t="n">
        <v>1</v>
      </c>
      <c r="E20" s="0" t="n">
        <v>4688.2</v>
      </c>
      <c r="F20" s="0" t="n">
        <v>4721.47</v>
      </c>
      <c r="G20" s="0" t="inlineStr">
        <is>
          <t>~</t>
        </is>
      </c>
      <c r="H20" s="0" t="n">
        <v>4.68</v>
      </c>
      <c r="I20" s="0" t="n">
        <v>28.59</v>
      </c>
    </row>
    <row r="21">
      <c r="A21" s="87" t="n">
        <v>45961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4714.9</v>
      </c>
      <c r="F21" s="0" t="n">
        <v>4748.27</v>
      </c>
      <c r="G21" s="0" t="inlineStr">
        <is>
          <t>~</t>
        </is>
      </c>
      <c r="H21" s="0" t="n">
        <v>4.7</v>
      </c>
      <c r="I21" s="0" t="n">
        <v>28.67</v>
      </c>
    </row>
    <row r="22">
      <c r="A22" s="87" t="n">
        <v>45957</v>
      </c>
      <c r="B22" s="0" t="inlineStr">
        <is>
          <t>NSE</t>
        </is>
      </c>
      <c r="C22" s="0" t="inlineStr">
        <is>
          <t>Buy</t>
        </is>
      </c>
      <c r="D22" s="0" t="n">
        <v>2</v>
      </c>
      <c r="E22" s="0" t="n">
        <v>4805.7</v>
      </c>
      <c r="F22" s="0" t="n">
        <v>9679.58</v>
      </c>
      <c r="G22" s="0" t="inlineStr">
        <is>
          <t>~</t>
        </is>
      </c>
      <c r="H22" s="0" t="n">
        <v>9.640000000000001</v>
      </c>
      <c r="I22" s="0" t="n">
        <v>58.54</v>
      </c>
    </row>
    <row r="23">
      <c r="A23" s="87" t="n">
        <v>45954</v>
      </c>
      <c r="B23" s="0" t="inlineStr">
        <is>
          <t>NSE</t>
        </is>
      </c>
      <c r="C23" s="0" t="inlineStr">
        <is>
          <t>Buy</t>
        </is>
      </c>
      <c r="D23" s="0" t="n">
        <v>2</v>
      </c>
      <c r="E23" s="0" t="n">
        <v>4787.7</v>
      </c>
      <c r="F23" s="0" t="n">
        <v>9643.309999999999</v>
      </c>
      <c r="G23" s="0" t="inlineStr">
        <is>
          <t>~</t>
        </is>
      </c>
      <c r="H23" s="0" t="n">
        <v>9.6</v>
      </c>
      <c r="I23" s="0" t="n">
        <v>58.31</v>
      </c>
    </row>
    <row r="24">
      <c r="A24" s="87" t="n">
        <v>45953</v>
      </c>
      <c r="B24" s="0" t="inlineStr">
        <is>
          <t>BSE</t>
        </is>
      </c>
      <c r="C24" s="0" t="inlineStr">
        <is>
          <t>Buy</t>
        </is>
      </c>
      <c r="D24" s="0" t="n">
        <v>2</v>
      </c>
      <c r="E24" s="0" t="n">
        <v>4821.25</v>
      </c>
      <c r="F24" s="0" t="n">
        <v>9710.889999999999</v>
      </c>
      <c r="G24" s="0" t="inlineStr">
        <is>
          <t>~</t>
        </is>
      </c>
      <c r="H24" s="0" t="n">
        <v>9.6</v>
      </c>
      <c r="I24" s="0" t="n">
        <v>58.79</v>
      </c>
    </row>
    <row r="25">
      <c r="A25" s="87" t="n">
        <v>45950</v>
      </c>
      <c r="B25" s="0" t="inlineStr">
        <is>
          <t>BSE</t>
        </is>
      </c>
      <c r="C25" s="0" t="inlineStr">
        <is>
          <t>Buy</t>
        </is>
      </c>
      <c r="D25" s="0" t="n">
        <v>2</v>
      </c>
      <c r="E25" s="0" t="n">
        <v>4802.05</v>
      </c>
      <c r="F25" s="0" t="n">
        <v>9672.23</v>
      </c>
      <c r="G25" s="0" t="inlineStr">
        <is>
          <t>~</t>
        </is>
      </c>
      <c r="H25" s="0" t="n">
        <v>9.59</v>
      </c>
      <c r="I25" s="0" t="n">
        <v>58.54</v>
      </c>
    </row>
    <row r="26">
      <c r="A26" s="87" t="n">
        <v>45947</v>
      </c>
      <c r="B26" s="0" t="inlineStr">
        <is>
          <t>BSE</t>
        </is>
      </c>
      <c r="C26" s="0" t="inlineStr">
        <is>
          <t>Buy</t>
        </is>
      </c>
      <c r="D26" s="0" t="n">
        <v>2</v>
      </c>
      <c r="E26" s="0" t="n">
        <v>4810.75</v>
      </c>
      <c r="F26" s="0" t="n">
        <v>9689.76</v>
      </c>
      <c r="G26" s="0" t="inlineStr">
        <is>
          <t>~</t>
        </is>
      </c>
      <c r="H26" s="0" t="n">
        <v>9.640000000000001</v>
      </c>
      <c r="I26" s="0" t="n">
        <v>58.62</v>
      </c>
    </row>
    <row r="27">
      <c r="A27" s="87" t="n">
        <v>45903</v>
      </c>
      <c r="B27" s="0" t="inlineStr">
        <is>
          <t>BSE</t>
        </is>
      </c>
      <c r="C27" s="0" t="inlineStr">
        <is>
          <t>Buy</t>
        </is>
      </c>
      <c r="D27" s="0" t="n">
        <v>2</v>
      </c>
      <c r="E27" s="0" t="n">
        <v>5386.5</v>
      </c>
      <c r="F27" s="0" t="n">
        <v>10849.47</v>
      </c>
      <c r="G27" s="0" t="inlineStr">
        <is>
          <t>~</t>
        </is>
      </c>
      <c r="H27" s="0" t="n">
        <v>10.79</v>
      </c>
      <c r="I27" s="0" t="n">
        <v>65.68000000000001</v>
      </c>
    </row>
    <row r="28">
      <c r="A28" s="38" t="n">
        <v>45950</v>
      </c>
      <c r="B28" s="39" t="inlineStr">
        <is>
          <t>BSE</t>
        </is>
      </c>
      <c r="C28" s="39" t="inlineStr">
        <is>
          <t>Buy</t>
        </is>
      </c>
      <c r="D28" s="40" t="n">
        <v>2</v>
      </c>
      <c r="E28" s="41" t="n">
        <v>4836.11</v>
      </c>
      <c r="F28" s="41">
        <f>D5*E5</f>
        <v/>
      </c>
      <c r="G28" s="39" t="inlineStr">
        <is>
          <t>~</t>
        </is>
      </c>
      <c r="H28" s="40" t="n"/>
      <c r="I28" s="40" t="n"/>
      <c r="J28" s="42">
        <f>Index!$C$2</f>
        <v/>
      </c>
      <c r="K28" s="43">
        <f>IF(AND( C5="Buy", ISBLANK(W5), B5&lt;&gt;"DIV"), L5/sum(F5:I5), "")</f>
        <v/>
      </c>
      <c r="L28" s="44">
        <f>IF(AND( C5="Buy", ISBLANK(W5), B5&lt;&gt;"DIV"), (1-Index!$F$2*2)*((J5*D5)-(E5*D5)), "")</f>
        <v/>
      </c>
      <c r="M28" s="44">
        <f>IF(AND( C5="Buy", ISBLANK(W5), B5&lt;&gt;"DIV"), ((E5*D5)+L5), "")</f>
        <v/>
      </c>
      <c r="N28" s="45">
        <f>IF(AND( C5="Buy", ISBLANK(W5), B5&lt;&gt;"DIV"), D5, "")</f>
        <v/>
      </c>
      <c r="O28" s="43">
        <f>IF(AND( C5="Buy", ISBLANK(W5), B5&lt;&gt;"DIV", NOW()-A5 &lt; 365), P5/sum(F5:I5), "")</f>
        <v/>
      </c>
      <c r="P28" s="44">
        <f>IF(AND( C5="Buy", ISBLANK(W5), B5&lt;&gt;"DIV", NOW()-A5 &lt; 365), (1-Index!$F$2*2)*((J5*D5)-(E5*D5)), "")</f>
        <v/>
      </c>
      <c r="Q28" s="44">
        <f>IF(AND( C5="Buy", ISBLANK(W5), B5&lt;&gt;"DIV", NOW()-A5 &lt; 365), ((E5*D5)+P5), "")</f>
        <v/>
      </c>
      <c r="R28" s="44">
        <f>IF(AND( C5="Buy", ISBLANK(W5), B5&lt;&gt;"DIV", NOW()-A5 &lt; 365), D5, "")</f>
        <v/>
      </c>
      <c r="S28" s="46">
        <f>IF(AND( C5="Buy", ISBLANK(W5), B5&lt;&gt;"DIV", NOW()-A5 &gt; 365), T5/sum(F5:I5), "")</f>
        <v/>
      </c>
      <c r="T28" s="47">
        <f>IF(AND( C5="Buy", ISBLANK(W5), B5&lt;&gt;"DIV", NOW()-A5 &gt; 365), (1-Index!$F$2*2)*((J5*D5)-(E5*D5)), "")</f>
        <v/>
      </c>
      <c r="U28" s="47">
        <f>IF(AND( C5="Buy", ISBLANK(W5), B5&lt;&gt;"DIV", NOW()-A5 &gt; 365), ((E5*D5)+T5), "")</f>
        <v/>
      </c>
      <c r="V28" s="47">
        <f>IF(AND( C5="Buy", ISBLANK(W5), B5&lt;&gt;"DIV", NOW()-A5 &gt; 365), D5, "")</f>
        <v/>
      </c>
      <c r="W28" s="47" t="n"/>
      <c r="X28" s="47" t="n"/>
      <c r="Y28" s="46">
        <f>IF(AND( C5="Buy", W5&lt;&gt;"", AA5&lt;&gt;"", B5&lt;&gt;"DIV"), Z5/sum(F5:I5), "")</f>
        <v/>
      </c>
      <c r="Z28" s="47" t="n"/>
      <c r="AA28" s="47" t="n"/>
      <c r="AB28" s="48" t="n"/>
      <c r="AC28" s="44">
        <f>if(B5="DIV", F5,"")</f>
        <v/>
      </c>
      <c r="AD28" s="49" t="n"/>
    </row>
    <row r="29">
      <c r="A29" s="38" t="n">
        <v>45947</v>
      </c>
      <c r="B29" s="39" t="inlineStr">
        <is>
          <t>BSE</t>
        </is>
      </c>
      <c r="C29" s="39" t="inlineStr">
        <is>
          <t>Buy</t>
        </is>
      </c>
      <c r="D29" s="40" t="n">
        <v>2</v>
      </c>
      <c r="E29" s="41" t="n">
        <v>4844.88</v>
      </c>
      <c r="F29" s="41">
        <f>D6*E6</f>
        <v/>
      </c>
      <c r="G29" s="39" t="inlineStr">
        <is>
          <t>~</t>
        </is>
      </c>
      <c r="H29" s="40" t="n"/>
      <c r="I29" s="40" t="n"/>
      <c r="J29" s="42">
        <f>Index!$C$2</f>
        <v/>
      </c>
      <c r="K29" s="43">
        <f>IF(AND( C6="Buy", ISBLANK(W6), B6&lt;&gt;"DIV"), L6/sum(F6:I6), "")</f>
        <v/>
      </c>
      <c r="L29" s="44">
        <f>IF(AND( C6="Buy", ISBLANK(W6), B6&lt;&gt;"DIV"), (1-Index!$F$2*2)*((J6*D6)-(E6*D6)), "")</f>
        <v/>
      </c>
      <c r="M29" s="44">
        <f>IF(AND( C6="Buy", ISBLANK(W6), B6&lt;&gt;"DIV"), ((E6*D6)+L6), "")</f>
        <v/>
      </c>
      <c r="N29" s="45">
        <f>IF(AND( C6="Buy", ISBLANK(W6), B6&lt;&gt;"DIV"), D6, "")</f>
        <v/>
      </c>
      <c r="O29" s="43">
        <f>IF(AND( C6="Buy", ISBLANK(W6), B6&lt;&gt;"DIV", NOW()-A6 &lt; 365), P6/sum(F6:I6), "")</f>
        <v/>
      </c>
      <c r="P29" s="44">
        <f>IF(AND( C6="Buy", ISBLANK(W6), B6&lt;&gt;"DIV", NOW()-A6 &lt; 365), (1-Index!$F$2*2)*((J6*D6)-(E6*D6)), "")</f>
        <v/>
      </c>
      <c r="Q29" s="44">
        <f>IF(AND( C6="Buy", ISBLANK(W6), B6&lt;&gt;"DIV", NOW()-A6 &lt; 365), ((E6*D6)+P6), "")</f>
        <v/>
      </c>
      <c r="R29" s="44">
        <f>IF(AND( C6="Buy", ISBLANK(W6), B6&lt;&gt;"DIV", NOW()-A6 &lt; 365), D6, "")</f>
        <v/>
      </c>
      <c r="S29" s="46">
        <f>IF(AND( C6="Buy", ISBLANK(W6), B6&lt;&gt;"DIV", NOW()-A6 &gt; 365), T6/sum(F6:I6), "")</f>
        <v/>
      </c>
      <c r="T29" s="47">
        <f>IF(AND( C6="Buy", ISBLANK(W6), B6&lt;&gt;"DIV", NOW()-A6 &gt; 365), (1-Index!$F$2*2)*((J6*D6)-(E6*D6)), "")</f>
        <v/>
      </c>
      <c r="U29" s="47">
        <f>IF(AND( C6="Buy", ISBLANK(W6), B6&lt;&gt;"DIV", NOW()-A6 &gt; 365), ((E6*D6)+T6), "")</f>
        <v/>
      </c>
      <c r="V29" s="47">
        <f>IF(AND( C6="Buy", ISBLANK(W6), B6&lt;&gt;"DIV", NOW()-A6 &gt; 365), D6, "")</f>
        <v/>
      </c>
      <c r="W29" s="47" t="n"/>
      <c r="X29" s="47" t="n"/>
      <c r="Y29" s="46">
        <f>IF(AND( C6="Buy", W6&lt;&gt;"", AA6&lt;&gt;"", B6&lt;&gt;"DIV"), Z6/sum(F6:I6), "")</f>
        <v/>
      </c>
      <c r="Z29" s="47" t="n"/>
      <c r="AA29" s="47" t="n"/>
      <c r="AB29" s="48" t="n"/>
      <c r="AC29" s="44">
        <f>if(B6="DIV", F6,"")</f>
        <v/>
      </c>
      <c r="AD29" s="49" t="n"/>
    </row>
    <row r="30">
      <c r="A30" s="38" t="n">
        <v>45903</v>
      </c>
      <c r="B30" s="39" t="inlineStr">
        <is>
          <t>BSE</t>
        </is>
      </c>
      <c r="C30" s="39" t="inlineStr">
        <is>
          <t>Buy</t>
        </is>
      </c>
      <c r="D30" s="40" t="n">
        <v>2</v>
      </c>
      <c r="E30" s="41" t="n">
        <v>5424.73</v>
      </c>
      <c r="F30" s="41" t="n">
        <v>10849.47</v>
      </c>
      <c r="G30" s="39" t="inlineStr">
        <is>
          <t>~</t>
        </is>
      </c>
      <c r="H30" s="40" t="n">
        <v>10.79</v>
      </c>
      <c r="I30" s="40" t="n">
        <v>65.68000000000001</v>
      </c>
      <c r="J30" s="42">
        <f>Index!$C$2</f>
        <v/>
      </c>
      <c r="K30" s="43">
        <f>IF(AND( C7="Buy", ISBLANK(W7), B7&lt;&gt;"DIV"), L7/sum(F7:I7), "")</f>
        <v/>
      </c>
      <c r="L30" s="44">
        <f>IF(AND( C7="Buy", ISBLANK(W7), B7&lt;&gt;"DIV"), (1-Index!$F$2*2)*((J7*D7)-(E7*D7)), "")</f>
        <v/>
      </c>
      <c r="M30" s="44">
        <f>IF(AND( C7="Buy", ISBLANK(W7), B7&lt;&gt;"DIV"), ((E7*D7)+L7), "")</f>
        <v/>
      </c>
      <c r="N30" s="45">
        <f>IF(AND( C7="Buy", ISBLANK(W7), B7&lt;&gt;"DIV"), D7, "")</f>
        <v/>
      </c>
      <c r="O30" s="43">
        <f>IF(AND( C7="Buy", ISBLANK(W7), B7&lt;&gt;"DIV", NOW()-A7 &lt; 365), P7/sum(F7:I7), "")</f>
        <v/>
      </c>
      <c r="P30" s="44">
        <f>IF(AND( C7="Buy", ISBLANK(W7), B7&lt;&gt;"DIV", NOW()-A7 &lt; 365), (1-Index!$F$2*2)*((J7*D7)-(E7*D7)), "")</f>
        <v/>
      </c>
      <c r="Q30" s="44">
        <f>IF(AND( C7="Buy", ISBLANK(W7), B7&lt;&gt;"DIV", NOW()-A7 &lt; 365), ((E7*D7)+P7), "")</f>
        <v/>
      </c>
      <c r="R30" s="44">
        <f>IF(AND( C7="Buy", ISBLANK(W7), B7&lt;&gt;"DIV", NOW()-A7 &lt; 365), D7, "")</f>
        <v/>
      </c>
      <c r="S30" s="46">
        <f>IF(AND( C7="Buy", ISBLANK(W7), B7&lt;&gt;"DIV", NOW()-A7 &gt; 365), T7/sum(F7:I7), "")</f>
        <v/>
      </c>
      <c r="T30" s="47">
        <f>IF(AND( C7="Buy", ISBLANK(W7), B7&lt;&gt;"DIV", NOW()-A7 &gt; 365), (1-Index!$F$2*2)*((J7*D7)-(E7*D7)), "")</f>
        <v/>
      </c>
      <c r="U30" s="47">
        <f>IF(AND( C7="Buy", ISBLANK(W7), B7&lt;&gt;"DIV", NOW()-A7 &gt; 365), ((E7*D7)+T7), "")</f>
        <v/>
      </c>
      <c r="V30" s="47">
        <f>IF(AND( C7="Buy", ISBLANK(W7), B7&lt;&gt;"DIV", NOW()-A7 &gt; 365), D7, "")</f>
        <v/>
      </c>
      <c r="W30" s="47" t="n"/>
      <c r="X30" s="47" t="n"/>
      <c r="Y30" s="46">
        <f>IF(AND( C7="Buy", W7&lt;&gt;"", AA7&lt;&gt;"", B7&lt;&gt;"DIV"), Z7/sum(F7:I7), "")</f>
        <v/>
      </c>
      <c r="Z30" s="47" t="n"/>
      <c r="AA30" s="47" t="n"/>
      <c r="AB30" s="48" t="n"/>
      <c r="AC30" s="44">
        <f>if(B7="DIV", F7,"")</f>
        <v/>
      </c>
      <c r="AD30" s="49" t="n"/>
    </row>
    <row r="31">
      <c r="A31" s="38" t="n">
        <v>45855</v>
      </c>
      <c r="B31" s="39" t="inlineStr">
        <is>
          <t>NSE</t>
        </is>
      </c>
      <c r="C31" s="39" t="inlineStr">
        <is>
          <t>Buy</t>
        </is>
      </c>
      <c r="D31" s="40" t="n">
        <v>2</v>
      </c>
      <c r="E31" s="41" t="n">
        <v>5478.06</v>
      </c>
      <c r="F31" s="41" t="n">
        <v>10956.12</v>
      </c>
      <c r="G31" s="39" t="inlineStr">
        <is>
          <t>~</t>
        </is>
      </c>
      <c r="H31" s="40" t="n">
        <v>10.88</v>
      </c>
      <c r="I31" s="40" t="n">
        <v>66.23999999999999</v>
      </c>
      <c r="J31" s="42">
        <f>Index!$C$2</f>
        <v/>
      </c>
      <c r="K31" s="43">
        <f>IF(AND( C8="Buy", ISBLANK(W8), B8&lt;&gt;"DIV"), L8/sum(F8:I8), "")</f>
        <v/>
      </c>
      <c r="L31" s="44">
        <f>IF(AND( C8="Buy", ISBLANK(W8), B8&lt;&gt;"DIV"), (1-Index!$F$2*2)*((J8*D8)-(E8*D8)), "")</f>
        <v/>
      </c>
      <c r="M31" s="44">
        <f>IF(AND( C8="Buy", ISBLANK(W8), B8&lt;&gt;"DIV"), ((E8*D8)+L8), "")</f>
        <v/>
      </c>
      <c r="N31" s="45">
        <f>IF(AND( C8="Buy", ISBLANK(W8), B8&lt;&gt;"DIV"), D8, "")</f>
        <v/>
      </c>
      <c r="O31" s="43">
        <f>IF(AND( C8="Buy", ISBLANK(W8), B8&lt;&gt;"DIV", NOW()-A8 &lt; 365), P8/sum(F8:I8), "")</f>
        <v/>
      </c>
      <c r="P31" s="44">
        <f>IF(AND( C8="Buy", ISBLANK(W8), B8&lt;&gt;"DIV", NOW()-A8 &lt; 365), (1-Index!$F$2*2)*((J8*D8)-(E8*D8)), "")</f>
        <v/>
      </c>
      <c r="Q31" s="44">
        <f>IF(AND( C8="Buy", ISBLANK(W8), B8&lt;&gt;"DIV", NOW()-A8 &lt; 365), ((E8*D8)+P8), "")</f>
        <v/>
      </c>
      <c r="R31" s="44">
        <f>IF(AND( C8="Buy", ISBLANK(W8), B8&lt;&gt;"DIV", NOW()-A8 &lt; 365), D8, "")</f>
        <v/>
      </c>
      <c r="S31" s="46">
        <f>IF(AND( C8="Buy", ISBLANK(W8), B8&lt;&gt;"DIV", NOW()-A8 &gt; 365), T8/sum(F8:I8), "")</f>
        <v/>
      </c>
      <c r="T31" s="47">
        <f>IF(AND( C8="Buy", ISBLANK(W8), B8&lt;&gt;"DIV", NOW()-A8 &gt; 365), (1-Index!$F$2*2)*((J8*D8)-(E8*D8)), "")</f>
        <v/>
      </c>
      <c r="U31" s="47">
        <f>IF(AND( C8="Buy", ISBLANK(W8), B8&lt;&gt;"DIV", NOW()-A8 &gt; 365), ((E8*D8)+T8), "")</f>
        <v/>
      </c>
      <c r="V31" s="47">
        <f>IF(AND( C8="Buy", ISBLANK(W8), B8&lt;&gt;"DIV", NOW()-A8 &gt; 365), D8, "")</f>
        <v/>
      </c>
      <c r="W31" s="47" t="n"/>
      <c r="X31" s="47" t="n"/>
      <c r="Y31" s="46">
        <f>IF(AND( C8="Buy", W8&lt;&gt;"", AA8&lt;&gt;"", B8&lt;&gt;"DIV"), Z8/sum(F8:I8), "")</f>
        <v/>
      </c>
      <c r="Z31" s="47" t="n"/>
      <c r="AA31" s="47" t="n"/>
      <c r="AB31" s="48" t="n"/>
      <c r="AC31" s="44">
        <f>if(B8="DIV", F8,"")</f>
        <v/>
      </c>
      <c r="AD31" s="49" t="n"/>
    </row>
    <row r="32">
      <c r="A32" s="38" t="n">
        <v>45820</v>
      </c>
      <c r="B32" s="39" t="inlineStr">
        <is>
          <t>DIV</t>
        </is>
      </c>
      <c r="C32" s="39" t="inlineStr">
        <is>
          <t>Buy</t>
        </is>
      </c>
      <c r="D32" s="40" t="n">
        <v>3</v>
      </c>
      <c r="E32" s="41" t="n">
        <v>5</v>
      </c>
      <c r="F32" s="41" t="n">
        <v>15</v>
      </c>
      <c r="G32" s="39" t="inlineStr">
        <is>
          <t>Annual-Dividend of Rs.5.0000/- per share on Ex-Date: 12-JUN-2025</t>
        </is>
      </c>
      <c r="H32" s="40" t="n">
        <v>0</v>
      </c>
      <c r="I32" s="40" t="n">
        <v>0</v>
      </c>
      <c r="J32" s="42">
        <f>Index!$C$2</f>
        <v/>
      </c>
      <c r="K32" s="43">
        <f>IF(AND( C9="Buy", ISBLANK(W9), B9&lt;&gt;"DIV"), L9/sum(F9:I9), "")</f>
        <v/>
      </c>
      <c r="L32" s="44">
        <f>IF(AND( C9="Buy", ISBLANK(W9), B9&lt;&gt;"DIV"), (1-Index!$F$2*2)*((J9*D9)-(E9*D9)), "")</f>
        <v/>
      </c>
      <c r="M32" s="44">
        <f>IF(AND( C9="Buy", ISBLANK(W9), B9&lt;&gt;"DIV"), ((E9*D9)+L9), "")</f>
        <v/>
      </c>
      <c r="N32" s="45">
        <f>IF(AND( C9="Buy", ISBLANK(W9), B9&lt;&gt;"DIV"), D9, "")</f>
        <v/>
      </c>
      <c r="O32" s="43">
        <f>IF(AND( C9="Buy", ISBLANK(W9), B9&lt;&gt;"DIV", NOW()-A9 &lt; 365), P9/sum(F9:I9), "")</f>
        <v/>
      </c>
      <c r="P32" s="44">
        <f>IF(AND( C9="Buy", ISBLANK(W9), B9&lt;&gt;"DIV", NOW()-A9 &lt; 365), (1-Index!$F$2*2)*((J9*D9)-(E9*D9)), "")</f>
        <v/>
      </c>
      <c r="Q32" s="44">
        <f>IF(AND( C9="Buy", ISBLANK(W9), B9&lt;&gt;"DIV", NOW()-A9 &lt; 365), ((E9*D9)+P9), "")</f>
        <v/>
      </c>
      <c r="R32" s="44">
        <f>IF(AND( C9="Buy", ISBLANK(W9), B9&lt;&gt;"DIV", NOW()-A9 &lt; 365), D9, "")</f>
        <v/>
      </c>
      <c r="S32" s="46">
        <f>IF(AND( C9="Buy", ISBLANK(W9), B9&lt;&gt;"DIV", NOW()-A9 &gt; 365), T9/sum(F9:I9), "")</f>
        <v/>
      </c>
      <c r="T32" s="47">
        <f>IF(AND( C9="Buy", ISBLANK(W9), B9&lt;&gt;"DIV", NOW()-A9 &gt; 365), (1-Index!$F$2*2)*((J9*D9)-(E9*D9)), "")</f>
        <v/>
      </c>
      <c r="U32" s="47">
        <f>IF(AND( C9="Buy", ISBLANK(W9), B9&lt;&gt;"DIV", NOW()-A9 &gt; 365), ((E9*D9)+T9), "")</f>
        <v/>
      </c>
      <c r="V32" s="47">
        <f>IF(AND( C9="Buy", ISBLANK(W9), B9&lt;&gt;"DIV", NOW()-A9 &gt; 365), D9, "")</f>
        <v/>
      </c>
      <c r="W32" s="47" t="n"/>
      <c r="X32" s="47" t="n"/>
      <c r="Y32" s="46">
        <f>IF(AND( C9="Buy", W9&lt;&gt;"", AA9&lt;&gt;"", B9&lt;&gt;"DIV"), Z9/sum(F9:I9), "")</f>
        <v/>
      </c>
      <c r="Z32" s="47" t="n"/>
      <c r="AA32" s="47" t="n"/>
      <c r="AB32" s="48" t="n"/>
      <c r="AC32" s="44">
        <f>if(B9="DIV", F9,"")</f>
        <v/>
      </c>
      <c r="AD32" s="49" t="n"/>
    </row>
    <row r="33">
      <c r="A33" s="38" t="n">
        <v>45812</v>
      </c>
      <c r="B33" s="39" t="inlineStr">
        <is>
          <t>NSE</t>
        </is>
      </c>
      <c r="C33" s="39" t="inlineStr">
        <is>
          <t>Buy</t>
        </is>
      </c>
      <c r="D33" s="40" t="n">
        <v>1</v>
      </c>
      <c r="E33" s="41" t="n">
        <v>5582.82</v>
      </c>
      <c r="F33" s="41" t="n">
        <v>5582.82</v>
      </c>
      <c r="G33" s="39" t="inlineStr">
        <is>
          <t>~</t>
        </is>
      </c>
      <c r="H33" s="40" t="n">
        <v>5.57</v>
      </c>
      <c r="I33" s="40" t="n">
        <v>33.75</v>
      </c>
      <c r="J33" s="42">
        <f>Index!$C$2</f>
        <v/>
      </c>
      <c r="K33" s="43">
        <f>IF(AND( C10="Buy", ISBLANK(W10), B10&lt;&gt;"DIV"), L10/sum(F10:I10), "")</f>
        <v/>
      </c>
      <c r="L33" s="44">
        <f>IF(AND( C10="Buy", ISBLANK(W10), B10&lt;&gt;"DIV"), (1-Index!$F$2*2)*((J10*D10)-(E10*D10)), "")</f>
        <v/>
      </c>
      <c r="M33" s="44">
        <f>IF(AND( C10="Buy", ISBLANK(W10), B10&lt;&gt;"DIV"), ((E10*D10)+L10), "")</f>
        <v/>
      </c>
      <c r="N33" s="45">
        <f>IF(AND( C10="Buy", ISBLANK(W10), B10&lt;&gt;"DIV"), D10, "")</f>
        <v/>
      </c>
      <c r="O33" s="43">
        <f>IF(AND( C10="Buy", ISBLANK(W10), B10&lt;&gt;"DIV", NOW()-A10 &lt; 365), P10/sum(F10:I10), "")</f>
        <v/>
      </c>
      <c r="P33" s="44">
        <f>IF(AND( C10="Buy", ISBLANK(W10), B10&lt;&gt;"DIV", NOW()-A10 &lt; 365), (1-Index!$F$2*2)*((J10*D10)-(E10*D10)), "")</f>
        <v/>
      </c>
      <c r="Q33" s="44">
        <f>IF(AND( C10="Buy", ISBLANK(W10), B10&lt;&gt;"DIV", NOW()-A10 &lt; 365), ((E10*D10)+P10), "")</f>
        <v/>
      </c>
      <c r="R33" s="44">
        <f>IF(AND( C10="Buy", ISBLANK(W10), B10&lt;&gt;"DIV", NOW()-A10 &lt; 365), D10, "")</f>
        <v/>
      </c>
      <c r="S33" s="46">
        <f>IF(AND( C10="Buy", ISBLANK(W10), B10&lt;&gt;"DIV", NOW()-A10 &gt; 365), T10/sum(F10:I10), "")</f>
        <v/>
      </c>
      <c r="T33" s="47">
        <f>IF(AND( C10="Buy", ISBLANK(W10), B10&lt;&gt;"DIV", NOW()-A10 &gt; 365), (1-Index!$F$2*2)*((J10*D10)-(E10*D10)), "")</f>
        <v/>
      </c>
      <c r="U33" s="47">
        <f>IF(AND( C10="Buy", ISBLANK(W10), B10&lt;&gt;"DIV", NOW()-A10 &gt; 365), ((E10*D10)+T10), "")</f>
        <v/>
      </c>
      <c r="V33" s="47">
        <f>IF(AND( C10="Buy", ISBLANK(W10), B10&lt;&gt;"DIV", NOW()-A10 &gt; 365), D10, "")</f>
        <v/>
      </c>
      <c r="W33" s="47" t="n"/>
      <c r="X33" s="47" t="n"/>
      <c r="Y33" s="46">
        <f>IF(AND( C10="Buy", W10&lt;&gt;"", AA10&lt;&gt;"", B10&lt;&gt;"DIV"), Z10/sum(F10:I10), "")</f>
        <v/>
      </c>
      <c r="Z33" s="47" t="n"/>
      <c r="AA33" s="47" t="n"/>
      <c r="AB33" s="48" t="n"/>
      <c r="AC33" s="44">
        <f>if(B10="DIV", F10,"")</f>
        <v/>
      </c>
      <c r="AD33" s="49" t="n"/>
    </row>
    <row r="34">
      <c r="A34" s="38" t="n">
        <v>45811</v>
      </c>
      <c r="B34" s="39" t="inlineStr">
        <is>
          <t>NSE</t>
        </is>
      </c>
      <c r="C34" s="39" t="inlineStr">
        <is>
          <t>Buy</t>
        </is>
      </c>
      <c r="D34" s="40" t="n">
        <v>1</v>
      </c>
      <c r="E34" s="41" t="n">
        <v>5655.83</v>
      </c>
      <c r="F34" s="41" t="n">
        <v>5655.83</v>
      </c>
      <c r="G34" s="39" t="inlineStr">
        <is>
          <t>~</t>
        </is>
      </c>
      <c r="H34" s="40" t="n">
        <v>5.62</v>
      </c>
      <c r="I34" s="40" t="n">
        <v>34.21</v>
      </c>
      <c r="J34" s="42">
        <f>Index!$C$2</f>
        <v/>
      </c>
      <c r="K34" s="43">
        <f>IF(AND( C11="Buy", ISBLANK(W11), B11&lt;&gt;"DIV"), L11/sum(F11:I11), "")</f>
        <v/>
      </c>
      <c r="L34" s="44">
        <f>IF(AND( C11="Buy", ISBLANK(W11), B11&lt;&gt;"DIV"), (1-Index!$F$2*2)*((J11*D11)-(E11*D11)), "")</f>
        <v/>
      </c>
      <c r="M34" s="44">
        <f>IF(AND( C11="Buy", ISBLANK(W11), B11&lt;&gt;"DIV"), ((E11*D11)+L11), "")</f>
        <v/>
      </c>
      <c r="N34" s="45">
        <f>IF(AND( C11="Buy", ISBLANK(W11), B11&lt;&gt;"DIV"), D11, "")</f>
        <v/>
      </c>
      <c r="O34" s="43">
        <f>IF(AND( C11="Buy", ISBLANK(W11), B11&lt;&gt;"DIV", NOW()-A11 &lt; 365), P11/sum(F11:I11), "")</f>
        <v/>
      </c>
      <c r="P34" s="44">
        <f>IF(AND( C11="Buy", ISBLANK(W11), B11&lt;&gt;"DIV", NOW()-A11 &lt; 365), (1-Index!$F$2*2)*((J11*D11)-(E11*D11)), "")</f>
        <v/>
      </c>
      <c r="Q34" s="44">
        <f>IF(AND( C11="Buy", ISBLANK(W11), B11&lt;&gt;"DIV", NOW()-A11 &lt; 365), ((E11*D11)+P11), "")</f>
        <v/>
      </c>
      <c r="R34" s="44">
        <f>IF(AND( C11="Buy", ISBLANK(W11), B11&lt;&gt;"DIV", NOW()-A11 &lt; 365), D11, "")</f>
        <v/>
      </c>
      <c r="S34" s="46">
        <f>IF(AND( C11="Buy", ISBLANK(W11), B11&lt;&gt;"DIV", NOW()-A11 &gt; 365), T11/sum(F11:I11), "")</f>
        <v/>
      </c>
      <c r="T34" s="47">
        <f>IF(AND( C11="Buy", ISBLANK(W11), B11&lt;&gt;"DIV", NOW()-A11 &gt; 365), (1-Index!$F$2*2)*((J11*D11)-(E11*D11)), "")</f>
        <v/>
      </c>
      <c r="U34" s="47">
        <f>IF(AND( C11="Buy", ISBLANK(W11), B11&lt;&gt;"DIV", NOW()-A11 &gt; 365), ((E11*D11)+T11), "")</f>
        <v/>
      </c>
      <c r="V34" s="47">
        <f>IF(AND( C11="Buy", ISBLANK(W11), B11&lt;&gt;"DIV", NOW()-A11 &gt; 365), D11, "")</f>
        <v/>
      </c>
      <c r="W34" s="47" t="n"/>
      <c r="X34" s="47" t="n"/>
      <c r="Y34" s="46">
        <f>IF(AND( C11="Buy", W11&lt;&gt;"", AA11&lt;&gt;"", B11&lt;&gt;"DIV"), Z11/sum(F11:I11), "")</f>
        <v/>
      </c>
      <c r="Z34" s="47" t="n"/>
      <c r="AA34" s="47" t="n"/>
      <c r="AB34" s="48" t="n"/>
      <c r="AC34" s="44">
        <f>if(B11="DIV", F11,"")</f>
        <v/>
      </c>
      <c r="AD34" s="49" t="n"/>
    </row>
    <row r="35">
      <c r="A35" s="38" t="n">
        <v>45811</v>
      </c>
      <c r="B35" s="39" t="inlineStr">
        <is>
          <t>NSE</t>
        </is>
      </c>
      <c r="C35" s="39" t="inlineStr">
        <is>
          <t>Buy</t>
        </is>
      </c>
      <c r="D35" s="40" t="n">
        <v>1</v>
      </c>
      <c r="E35" s="41" t="n">
        <v>5655.83</v>
      </c>
      <c r="F35" s="41" t="n">
        <v>5655.83</v>
      </c>
      <c r="G35" s="39" t="inlineStr">
        <is>
          <t>~</t>
        </is>
      </c>
      <c r="H35" s="40" t="n">
        <v>5.62</v>
      </c>
      <c r="I35" s="40" t="n">
        <v>34.21</v>
      </c>
      <c r="J35" s="42">
        <f>Index!$C$2</f>
        <v/>
      </c>
      <c r="K35" s="47" t="n"/>
      <c r="L35" s="47">
        <f>IF(AND( C12="Buy", ISBLANK(W12), B12&lt;&gt;"DIV"), (1-Index!$F$2*2)*((J12*D12)-(E12*D12)), "")</f>
        <v/>
      </c>
      <c r="M35" s="50">
        <f>IF(AND( C12="Buy", ISBLANK(W12), B12&lt;&gt;"DIV"), ((E12*D12)+L12), "")</f>
        <v/>
      </c>
      <c r="N35" s="51">
        <f>IF(AND( C12="Buy", ISBLANK(W12), B12&lt;&gt;"DIV"), D12, "")</f>
        <v/>
      </c>
      <c r="O35" s="50" t="n"/>
      <c r="P35" s="47">
        <f>IF(AND( C12="Buy", ISBLANK(W12), B12&lt;&gt;"DIV", NOW()-A12 &lt; 365), (1-Index!$F$2*2)*((J12*D12)-(E12*D12)), "")</f>
        <v/>
      </c>
      <c r="Q35" s="50">
        <f>IF(AND( C12="Buy", ISBLANK(W12), B12&lt;&gt;"DIV", NOW()-A12 &lt; 365), ((E12*D12)+P12), "")</f>
        <v/>
      </c>
      <c r="R35" s="50">
        <f>IF(AND( C12="Buy", ISBLANK(W12), B12&lt;&gt;"DIV", NOW()-A12 &lt; 365), D12, "")</f>
        <v/>
      </c>
      <c r="S35" s="46">
        <f>IF(AND( C12="Buy", ISBLANK(W12), B12&lt;&gt;"DIV", NOW()-A12 &gt; 365), T12/sum(F12:I12), "")</f>
        <v/>
      </c>
      <c r="T35" s="47">
        <f>IF(AND( C12="Buy", ISBLANK(W12), B12&lt;&gt;"DIV", NOW()-A12 &gt; 365), (1-Index!$F$2*2)*((J12*D12)-(E12*D12)), "")</f>
        <v/>
      </c>
      <c r="U35" s="47">
        <f>IF(AND( C12="Buy", ISBLANK(W12), B12&lt;&gt;"DIV", NOW()-A12 &gt; 365), ((E12*D12)+T12), "")</f>
        <v/>
      </c>
      <c r="V35" s="47">
        <f>IF(AND( C12="Buy", ISBLANK(W12), B12&lt;&gt;"DIV", NOW()-A12 &gt; 365), D12, "")</f>
        <v/>
      </c>
      <c r="W35" s="47" t="n"/>
      <c r="X35" s="47" t="n"/>
      <c r="Y35" s="46">
        <f>IF(AND( C12="Buy", W12&lt;&gt;"", AA12&lt;&gt;"", B12&lt;&gt;"DIV"), Z12/sum(F12:I12), "")</f>
        <v/>
      </c>
      <c r="Z35" s="47" t="n"/>
      <c r="AA35" s="47" t="n"/>
      <c r="AB35" s="48" t="n"/>
      <c r="AC35" s="44">
        <f>if(B12="DIV", F12,"")</f>
        <v/>
      </c>
      <c r="AD35" s="49" t="n"/>
    </row>
    <row r="36">
      <c r="E36" s="52" t="n"/>
      <c r="F36" s="52" t="n"/>
      <c r="G36" s="53" t="n"/>
      <c r="J36" s="52" t="n"/>
      <c r="K36" s="52" t="n"/>
      <c r="L36" s="52" t="n"/>
      <c r="M36" s="55" t="n"/>
      <c r="W36" s="52" t="n"/>
      <c r="X36" s="52" t="n"/>
      <c r="Y36" s="52" t="n"/>
      <c r="Z36" s="52" t="n"/>
      <c r="AA36" s="52" t="n"/>
      <c r="AB36" s="52" t="n"/>
      <c r="AC36" s="52" t="n"/>
    </row>
    <row r="37">
      <c r="E37" s="52" t="n"/>
      <c r="F37" s="52" t="n"/>
      <c r="G37" s="53" t="n"/>
      <c r="J37" s="52" t="n"/>
      <c r="K37" s="52" t="n"/>
      <c r="L37" s="52" t="n"/>
      <c r="M37" s="55" t="n"/>
      <c r="W37" s="52" t="n"/>
      <c r="X37" s="52" t="n"/>
      <c r="Y37" s="52" t="n"/>
      <c r="Z37" s="52" t="n"/>
      <c r="AA37" s="52" t="n"/>
      <c r="AB37" s="52" t="n"/>
      <c r="AC37" s="52" t="n"/>
    </row>
    <row r="38">
      <c r="E38" s="52" t="n"/>
      <c r="F38" s="52" t="n"/>
      <c r="G38" s="53" t="n"/>
      <c r="J38" s="52" t="n"/>
      <c r="K38" s="52" t="n"/>
      <c r="L38" s="52" t="n"/>
      <c r="M38" s="55" t="n"/>
      <c r="W38" s="52" t="n"/>
      <c r="X38" s="52" t="n"/>
      <c r="Y38" s="52" t="n"/>
      <c r="Z38" s="52" t="n"/>
      <c r="AA38" s="52" t="n"/>
      <c r="AB38" s="52" t="n"/>
      <c r="AC38" s="52" t="n"/>
    </row>
    <row r="39">
      <c r="E39" s="52" t="n"/>
      <c r="F39" s="52" t="n"/>
      <c r="G39" s="53" t="n"/>
      <c r="J39" s="52" t="n"/>
      <c r="K39" s="52" t="n"/>
      <c r="L39" s="52" t="n"/>
      <c r="M39" s="55" t="n"/>
      <c r="W39" s="52" t="n"/>
      <c r="X39" s="52" t="n"/>
      <c r="Y39" s="52" t="n"/>
      <c r="Z39" s="52" t="n"/>
      <c r="AA39" s="52" t="n"/>
      <c r="AB39" s="52" t="n"/>
      <c r="AC39" s="52" t="n"/>
    </row>
    <row r="40">
      <c r="E40" s="52" t="n"/>
      <c r="F40" s="52" t="n"/>
      <c r="G40" s="53" t="n"/>
      <c r="J40" s="52" t="n"/>
      <c r="K40" s="52" t="n"/>
      <c r="L40" s="52" t="n"/>
      <c r="M40" s="55" t="n"/>
      <c r="W40" s="52" t="n"/>
      <c r="X40" s="52" t="n"/>
      <c r="Y40" s="52" t="n"/>
      <c r="Z40" s="52" t="n"/>
      <c r="AA40" s="52" t="n"/>
      <c r="AB40" s="52" t="n"/>
      <c r="AC40" s="52" t="n"/>
    </row>
    <row r="41">
      <c r="E41" s="52" t="n"/>
      <c r="F41" s="52" t="n"/>
      <c r="G41" s="53" t="n"/>
      <c r="J41" s="52" t="n"/>
      <c r="K41" s="52" t="n"/>
      <c r="L41" s="52" t="n"/>
      <c r="M41" s="55" t="n"/>
      <c r="W41" s="52" t="n"/>
      <c r="X41" s="52" t="n"/>
      <c r="Y41" s="52" t="n"/>
      <c r="Z41" s="52" t="n"/>
      <c r="AA41" s="52" t="n"/>
      <c r="AB41" s="52" t="n"/>
      <c r="AC41" s="52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M969" s="55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M970" s="55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  <row r="986">
      <c r="E986" s="52" t="n"/>
      <c r="F986" s="52" t="n"/>
      <c r="G986" s="53" t="n"/>
      <c r="J986" s="52" t="n"/>
      <c r="K986" s="52" t="n"/>
      <c r="L986" s="52" t="n"/>
      <c r="W986" s="52" t="n"/>
      <c r="X986" s="52" t="n"/>
      <c r="Y986" s="52" t="n"/>
      <c r="Z986" s="52" t="n"/>
      <c r="AA986" s="52" t="n"/>
      <c r="AB986" s="52" t="n"/>
      <c r="AC986" s="52" t="n"/>
    </row>
    <row r="987">
      <c r="E987" s="52" t="n"/>
      <c r="F987" s="52" t="n"/>
      <c r="G987" s="53" t="n"/>
      <c r="J987" s="52" t="n"/>
      <c r="K987" s="52" t="n"/>
      <c r="L987" s="52" t="n"/>
      <c r="W987" s="52" t="n"/>
      <c r="X987" s="52" t="n"/>
      <c r="Y987" s="52" t="n"/>
      <c r="Z987" s="52" t="n"/>
      <c r="AA987" s="52" t="n"/>
      <c r="AB987" s="52" t="n"/>
      <c r="AC987" s="52" t="n"/>
    </row>
  </sheetData>
  <autoFilter ref="$A$4:$AO$41"/>
  <mergeCells count="5">
    <mergeCell ref="W2:AC3"/>
    <mergeCell ref="S3:V3"/>
    <mergeCell ref="K2:V2"/>
    <mergeCell ref="K3:N3"/>
    <mergeCell ref="O3:R3"/>
  </mergeCells>
  <conditionalFormatting sqref="C1:C96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NSE:TRENT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 t="n">
        <v>4113.8</v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""high52"")"),6261.0)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""low52"")"),3645.0)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History'!$B16:$B1007,"DIV",'Trading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2026-02-07T07:12:33Z</dcterms:created>
  <dcterms:modified xmlns:dcterms="http://purl.org/dc/terms/" xmlns:xsi="http://www.w3.org/2001/XMLSchema-instance" xsi:type="dcterms:W3CDTF">2026-02-12T00:13:49Z</dcterms:modified>
</cp:coreProperties>
</file>