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xis Bank" sheetId="1" r:id="rId5"/>
  </sheets>
  <definedNames/>
  <calcPr/>
</workbook>
</file>

<file path=xl/sharedStrings.xml><?xml version="1.0" encoding="utf-8"?>
<sst xmlns="http://schemas.openxmlformats.org/spreadsheetml/2006/main" count="19" uniqueCount="18">
  <si>
    <t>Start Date</t>
  </si>
  <si>
    <t>Latest Amount</t>
  </si>
  <si>
    <t>Maturity in Years</t>
  </si>
  <si>
    <t>Bank</t>
  </si>
  <si>
    <t>Axis Bank</t>
  </si>
  <si>
    <t>End Date</t>
  </si>
  <si>
    <t>Interest Earned</t>
  </si>
  <si>
    <t>Interest Payout</t>
  </si>
  <si>
    <t>Quarterly</t>
  </si>
  <si>
    <t>Frequency</t>
  </si>
  <si>
    <t>Monthly</t>
  </si>
  <si>
    <t>Interest Rate</t>
  </si>
  <si>
    <t>Maturity Amount</t>
  </si>
  <si>
    <t>SIP</t>
  </si>
  <si>
    <t>#</t>
  </si>
  <si>
    <t>Date</t>
  </si>
  <si>
    <t>Amount Invested</t>
  </si>
  <si>
    <t>Interest to be 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</si>
</sst>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[$₹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  <scheme val="minor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3" fontId="1" numFmtId="0" xfId="0" applyAlignment="1" applyBorder="1" applyFill="1" applyFont="1">
      <alignment readingOrder="0"/>
    </xf>
    <xf borderId="1" fillId="0" fontId="3" numFmtId="165" xfId="0" applyAlignment="1" applyBorder="1" applyFont="1" applyNumberFormat="1">
      <alignment horizontal="right"/>
    </xf>
    <xf borderId="1" fillId="0" fontId="3" numFmtId="0" xfId="0" applyAlignment="1" applyBorder="1" applyFont="1">
      <alignment horizontal="right" readingOrder="0"/>
    </xf>
    <xf borderId="1" fillId="0" fontId="3" numFmtId="164" xfId="0" applyBorder="1" applyFont="1" applyNumberFormat="1"/>
    <xf borderId="1" fillId="4" fontId="4" numFmtId="0" xfId="0" applyAlignment="1" applyBorder="1" applyFill="1" applyFont="1">
      <alignment vertical="bottom"/>
    </xf>
    <xf borderId="2" fillId="0" fontId="5" numFmtId="165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readingOrder="0"/>
    </xf>
    <xf borderId="3" fillId="3" fontId="4" numFmtId="0" xfId="0" applyAlignment="1" applyBorder="1" applyFont="1">
      <alignment vertical="bottom"/>
    </xf>
    <xf borderId="4" fillId="0" fontId="5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readingOrder="0"/>
    </xf>
    <xf borderId="0" fillId="0" fontId="6" numFmtId="0" xfId="0" applyFont="1"/>
    <xf borderId="0" fillId="0" fontId="6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165" xfId="0" applyBorder="1" applyFont="1" applyNumberFormat="1"/>
    <xf borderId="1" fillId="0" fontId="3" numFmtId="0" xfId="0" applyBorder="1" applyFont="1"/>
    <xf borderId="0" fillId="0" fontId="7" numFmtId="0" xfId="0" applyAlignment="1" applyFont="1">
      <alignment vertical="bottom"/>
    </xf>
    <xf borderId="0" fillId="0" fontId="7" numFmtId="165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4.5"/>
    <col customWidth="1" min="4" max="4" width="14.63"/>
    <col customWidth="1" min="5" max="5" width="14.5"/>
    <col customWidth="1" min="6" max="6" width="15.25"/>
    <col customWidth="1" min="7" max="7" width="16.5"/>
  </cols>
  <sheetData>
    <row r="1">
      <c r="A1" s="1" t="s">
        <v>0</v>
      </c>
      <c r="B1" s="2">
        <v>44941.0</v>
      </c>
      <c r="D1" s="3" t="s">
        <v>1</v>
      </c>
      <c r="E1" s="4">
        <f>sum(E6:E66)</f>
        <v>42000</v>
      </c>
      <c r="G1" s="1" t="s">
        <v>2</v>
      </c>
      <c r="H1" s="5">
        <v>1.0</v>
      </c>
      <c r="J1" s="1" t="s">
        <v>3</v>
      </c>
      <c r="K1" s="5" t="s">
        <v>4</v>
      </c>
    </row>
    <row r="2">
      <c r="A2" s="1" t="s">
        <v>5</v>
      </c>
      <c r="B2" s="6">
        <f>EDATE(B1,H1*12)</f>
        <v>45306</v>
      </c>
      <c r="D2" s="7" t="s">
        <v>6</v>
      </c>
      <c r="E2" s="8">
        <f>sum(F6:F18)</f>
        <v>6499.088944</v>
      </c>
      <c r="G2" s="1" t="s">
        <v>7</v>
      </c>
      <c r="H2" s="5" t="s">
        <v>8</v>
      </c>
      <c r="J2" s="1" t="s">
        <v>9</v>
      </c>
      <c r="K2" s="5" t="s">
        <v>10</v>
      </c>
    </row>
    <row r="3">
      <c r="A3" s="1" t="s">
        <v>11</v>
      </c>
      <c r="B3" s="9">
        <v>0.0675</v>
      </c>
      <c r="D3" s="10" t="s">
        <v>12</v>
      </c>
      <c r="E3" s="11">
        <f>sum(H3*H1*12) + sum(G6:G18)</f>
        <v>42499.08894</v>
      </c>
      <c r="G3" s="1" t="s">
        <v>13</v>
      </c>
      <c r="H3" s="12">
        <v>3000.0</v>
      </c>
    </row>
    <row r="4">
      <c r="G4" s="13"/>
    </row>
    <row r="5">
      <c r="C5" s="1" t="s">
        <v>14</v>
      </c>
      <c r="D5" s="1" t="s">
        <v>15</v>
      </c>
      <c r="E5" s="1" t="s">
        <v>16</v>
      </c>
      <c r="F5" s="1" t="s">
        <v>6</v>
      </c>
      <c r="G5" s="14" t="s">
        <v>17</v>
      </c>
    </row>
    <row r="6">
      <c r="C6" s="15">
        <f t="shared" ref="C6:C18" si="1">row()-5</f>
        <v>1</v>
      </c>
      <c r="D6" s="6">
        <f>B1</f>
        <v>44941</v>
      </c>
      <c r="E6" s="16">
        <f t="shared" ref="E6:E16" si="2">$H$3</f>
        <v>3000</v>
      </c>
      <c r="F6" s="17" t="str">
        <f t="shared" ref="F6:F18" si="3">IF(LEN(E6), G6, "")</f>
        <v/>
      </c>
      <c r="G6" s="18" t="str">
        <f t="shared" ref="G6:G18" si="4">IF(MOD(C6, 3), "", ($H$3*C6 + sum($G$5:G5))*$B$3)</f>
        <v/>
      </c>
    </row>
    <row r="7">
      <c r="C7" s="15">
        <f t="shared" si="1"/>
        <v>2</v>
      </c>
      <c r="D7" s="6">
        <f t="shared" ref="D7:D18" si="5">EDATE(D6, 1)</f>
        <v>44972</v>
      </c>
      <c r="E7" s="16">
        <f t="shared" si="2"/>
        <v>3000</v>
      </c>
      <c r="F7" s="17" t="str">
        <f t="shared" si="3"/>
        <v/>
      </c>
      <c r="G7" s="18" t="str">
        <f t="shared" si="4"/>
        <v/>
      </c>
    </row>
    <row r="8">
      <c r="C8" s="15">
        <f t="shared" si="1"/>
        <v>3</v>
      </c>
      <c r="D8" s="6">
        <f t="shared" si="5"/>
        <v>45000</v>
      </c>
      <c r="E8" s="16">
        <f t="shared" si="2"/>
        <v>3000</v>
      </c>
      <c r="F8" s="16">
        <f t="shared" si="3"/>
        <v>607.5</v>
      </c>
      <c r="G8" s="19">
        <f t="shared" si="4"/>
        <v>607.5</v>
      </c>
    </row>
    <row r="9">
      <c r="C9" s="15">
        <f t="shared" si="1"/>
        <v>4</v>
      </c>
      <c r="D9" s="6">
        <f t="shared" si="5"/>
        <v>45031</v>
      </c>
      <c r="E9" s="16">
        <f t="shared" si="2"/>
        <v>3000</v>
      </c>
      <c r="F9" s="17" t="str">
        <f t="shared" si="3"/>
        <v/>
      </c>
      <c r="G9" s="18" t="str">
        <f t="shared" si="4"/>
        <v/>
      </c>
    </row>
    <row r="10">
      <c r="C10" s="15">
        <f t="shared" si="1"/>
        <v>5</v>
      </c>
      <c r="D10" s="6">
        <f t="shared" si="5"/>
        <v>45061</v>
      </c>
      <c r="E10" s="16">
        <f t="shared" si="2"/>
        <v>3000</v>
      </c>
      <c r="F10" s="17" t="str">
        <f t="shared" si="3"/>
        <v/>
      </c>
      <c r="G10" s="18" t="str">
        <f t="shared" si="4"/>
        <v/>
      </c>
    </row>
    <row r="11">
      <c r="C11" s="15">
        <f t="shared" si="1"/>
        <v>6</v>
      </c>
      <c r="D11" s="6">
        <f t="shared" si="5"/>
        <v>45092</v>
      </c>
      <c r="E11" s="16">
        <f t="shared" si="2"/>
        <v>3000</v>
      </c>
      <c r="F11" s="16">
        <f t="shared" si="3"/>
        <v>1256.00625</v>
      </c>
      <c r="G11" s="19">
        <f t="shared" si="4"/>
        <v>1256.00625</v>
      </c>
    </row>
    <row r="12">
      <c r="C12" s="15">
        <f t="shared" si="1"/>
        <v>7</v>
      </c>
      <c r="D12" s="6">
        <f t="shared" si="5"/>
        <v>45122</v>
      </c>
      <c r="E12" s="16">
        <f t="shared" si="2"/>
        <v>3000</v>
      </c>
      <c r="F12" s="17" t="str">
        <f t="shared" si="3"/>
        <v/>
      </c>
      <c r="G12" s="18" t="str">
        <f t="shared" si="4"/>
        <v/>
      </c>
    </row>
    <row r="13">
      <c r="C13" s="15">
        <f t="shared" si="1"/>
        <v>8</v>
      </c>
      <c r="D13" s="6">
        <f t="shared" si="5"/>
        <v>45153</v>
      </c>
      <c r="E13" s="16">
        <f t="shared" si="2"/>
        <v>3000</v>
      </c>
      <c r="F13" s="17" t="str">
        <f t="shared" si="3"/>
        <v/>
      </c>
      <c r="G13" s="18" t="str">
        <f t="shared" si="4"/>
        <v/>
      </c>
    </row>
    <row r="14">
      <c r="C14" s="15">
        <f t="shared" si="1"/>
        <v>9</v>
      </c>
      <c r="D14" s="6">
        <f t="shared" si="5"/>
        <v>45184</v>
      </c>
      <c r="E14" s="16">
        <f t="shared" si="2"/>
        <v>3000</v>
      </c>
      <c r="F14" s="16">
        <f t="shared" si="3"/>
        <v>1948.286672</v>
      </c>
      <c r="G14" s="19">
        <f t="shared" si="4"/>
        <v>1948.286672</v>
      </c>
    </row>
    <row r="15">
      <c r="C15" s="15">
        <f t="shared" si="1"/>
        <v>10</v>
      </c>
      <c r="D15" s="6">
        <f t="shared" si="5"/>
        <v>45214</v>
      </c>
      <c r="E15" s="16">
        <f t="shared" si="2"/>
        <v>3000</v>
      </c>
      <c r="F15" s="17" t="str">
        <f t="shared" si="3"/>
        <v/>
      </c>
      <c r="G15" s="18" t="str">
        <f t="shared" si="4"/>
        <v/>
      </c>
    </row>
    <row r="16">
      <c r="C16" s="15">
        <f t="shared" si="1"/>
        <v>11</v>
      </c>
      <c r="D16" s="6">
        <f t="shared" si="5"/>
        <v>45245</v>
      </c>
      <c r="E16" s="16">
        <f t="shared" si="2"/>
        <v>3000</v>
      </c>
      <c r="F16" s="17" t="str">
        <f t="shared" si="3"/>
        <v/>
      </c>
      <c r="G16" s="18" t="str">
        <f t="shared" si="4"/>
        <v/>
      </c>
    </row>
    <row r="17">
      <c r="C17" s="15">
        <f t="shared" si="1"/>
        <v>12</v>
      </c>
      <c r="D17" s="6">
        <f t="shared" si="5"/>
        <v>45275</v>
      </c>
      <c r="E17" s="16">
        <f t="shared" ref="E17:E18" si="6">IF((D17-NOW()) &lt; 0, $H$3, "")</f>
        <v>3000</v>
      </c>
      <c r="F17" s="16">
        <f t="shared" si="3"/>
        <v>2687.296022</v>
      </c>
      <c r="G17" s="19">
        <f t="shared" si="4"/>
        <v>2687.296022</v>
      </c>
    </row>
    <row r="18">
      <c r="C18" s="15">
        <f t="shared" si="1"/>
        <v>13</v>
      </c>
      <c r="D18" s="6">
        <f t="shared" si="5"/>
        <v>45306</v>
      </c>
      <c r="E18" s="16">
        <f t="shared" si="6"/>
        <v>3000</v>
      </c>
      <c r="F18" s="17" t="str">
        <f t="shared" si="3"/>
        <v/>
      </c>
      <c r="G18" s="18" t="str">
        <f t="shared" si="4"/>
        <v/>
      </c>
    </row>
    <row r="19">
      <c r="G19" s="13"/>
    </row>
    <row r="20">
      <c r="G20" s="13"/>
    </row>
    <row r="21">
      <c r="G21" s="13"/>
    </row>
    <row r="22">
      <c r="G22" s="13"/>
    </row>
    <row r="23">
      <c r="G23" s="13"/>
    </row>
    <row r="66">
      <c r="D66" s="6">
        <f>EDATE(D65, 1)</f>
        <v>31</v>
      </c>
      <c r="E66" s="16">
        <f>IF((D66-NOW()) &lt;= 0, $H$3, "")</f>
        <v>3000</v>
      </c>
      <c r="F66" s="17"/>
    </row>
    <row r="70">
      <c r="A70" s="20"/>
    </row>
    <row r="71">
      <c r="A71" s="20"/>
    </row>
    <row r="72">
      <c r="A72" s="20"/>
    </row>
    <row r="73">
      <c r="A73" s="20"/>
    </row>
    <row r="74">
      <c r="A74" s="20"/>
    </row>
    <row r="75">
      <c r="A75" s="20"/>
    </row>
    <row r="76">
      <c r="A76" s="20"/>
    </row>
    <row r="77">
      <c r="A77" s="20"/>
    </row>
    <row r="78">
      <c r="A78" s="20"/>
    </row>
    <row r="79">
      <c r="A79" s="20"/>
    </row>
    <row r="80">
      <c r="A80" s="20"/>
    </row>
    <row r="81">
      <c r="A81" s="20"/>
    </row>
    <row r="82">
      <c r="A82" s="20"/>
    </row>
    <row r="83">
      <c r="A83" s="20"/>
    </row>
    <row r="84">
      <c r="A84" s="20"/>
    </row>
    <row r="85">
      <c r="A85" s="20"/>
    </row>
    <row r="86">
      <c r="A86" s="20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0"/>
    </row>
    <row r="95">
      <c r="A95" s="20"/>
    </row>
    <row r="96">
      <c r="A96" s="20"/>
    </row>
    <row r="97">
      <c r="A97" s="20"/>
    </row>
    <row r="98">
      <c r="A98" s="20"/>
    </row>
    <row r="99">
      <c r="A99" s="20"/>
    </row>
    <row r="100">
      <c r="A100" s="20"/>
    </row>
    <row r="101">
      <c r="A101" s="20"/>
    </row>
    <row r="102">
      <c r="A102" s="20"/>
    </row>
    <row r="103">
      <c r="A103" s="20"/>
    </row>
    <row r="104">
      <c r="A104" s="20"/>
    </row>
    <row r="105">
      <c r="A105" s="20"/>
    </row>
    <row r="106">
      <c r="A106" s="20"/>
    </row>
    <row r="107">
      <c r="A107" s="20"/>
    </row>
    <row r="108">
      <c r="A108" s="20"/>
    </row>
    <row r="109">
      <c r="A109" s="20"/>
    </row>
    <row r="110">
      <c r="A110" s="20"/>
    </row>
    <row r="111">
      <c r="A111" s="20"/>
    </row>
    <row r="112">
      <c r="A112" s="20"/>
    </row>
    <row r="113">
      <c r="A113" s="20"/>
    </row>
    <row r="114">
      <c r="A114" s="20"/>
    </row>
    <row r="115">
      <c r="A115" s="20"/>
    </row>
    <row r="116">
      <c r="A116" s="20"/>
    </row>
    <row r="117">
      <c r="A117" s="20"/>
    </row>
    <row r="118">
      <c r="A118" s="20"/>
    </row>
    <row r="119">
      <c r="A119" s="20"/>
    </row>
    <row r="120">
      <c r="A120" s="20"/>
    </row>
    <row r="121">
      <c r="A121" s="20"/>
    </row>
    <row r="122">
      <c r="A122" s="20"/>
    </row>
    <row r="123">
      <c r="A123" s="20"/>
    </row>
    <row r="124">
      <c r="A124" s="20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</sheetData>
  <drawing r:id="rId1"/>
</worksheet>
</file>