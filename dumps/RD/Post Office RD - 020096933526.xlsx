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<sst xmlns="http://schemas.openxmlformats.org/spreadsheetml/2006/main" count="18" uniqueCount="17">
  <si>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</si>
  <si>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</si>
  <si>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Months</t>
  </si>
  <si>
    <t>Bank</t>
  </si>
  <si>
    <t>Post Office</t>
  </si>
  <si>
    <t>End Date</t>
  </si>
  <si>
    <t>Interest Earned</t>
  </si>
  <si>
    <t>Interest Payout</t>
  </si>
  <si>
    <t>Maturity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</si>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</sst>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164" xfId="0" applyAlignment="1" applyBorder="1" applyFont="1" applyNumberFormat="1">
      <alignment horizontal="right" readingOrder="0" vertical="top"/>
    </xf>
    <xf borderId="3" fillId="0" fontId="2" numFmtId="0" xfId="0" applyAlignment="1" applyBorder="1" applyFont="1">
      <alignment vertical="bottom"/>
    </xf>
    <xf borderId="2" fillId="3" fontId="1" numFmtId="0" xfId="0" applyAlignment="1" applyBorder="1" applyFill="1" applyFont="1">
      <alignment vertical="bottom"/>
    </xf>
    <xf borderId="2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2" fillId="2" fontId="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4" fillId="2" fontId="1" numFmtId="0" xfId="0" applyAlignment="1" applyBorder="1" applyFont="1">
      <alignment vertical="bottom"/>
    </xf>
    <xf borderId="5" fillId="4" fontId="1" numFmtId="0" xfId="0" applyAlignment="1" applyBorder="1" applyFill="1" applyFont="1">
      <alignment vertical="bottom"/>
    </xf>
    <xf borderId="5" fillId="0" fontId="2" numFmtId="165" xfId="0" applyAlignment="1" applyBorder="1" applyFont="1" applyNumberFormat="1">
      <alignment horizontal="right" vertical="bottom"/>
    </xf>
    <xf borderId="5" fillId="2" fontId="1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/>
    </xf>
    <xf borderId="5" fillId="0" fontId="2" numFmtId="10" xfId="0" applyAlignment="1" applyBorder="1" applyFont="1" applyNumberFormat="1">
      <alignment horizontal="right" vertical="bottom"/>
    </xf>
    <xf borderId="5" fillId="3" fontId="1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5" fillId="0" fontId="2" numFmtId="165" xfId="0" applyAlignment="1" applyBorder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3.13"/>
    <col customWidth="1" min="7" max="7" width="16.5"/>
  </cols>
  <sheetData>
    <row r="1">
      <c r="A1" s="1" t="s">
        <v>0</v>
      </c>
      <c r="B1" s="2">
        <v>45289.0</v>
      </c>
      <c r="C1" s="3"/>
      <c r="D1" s="4" t="s">
        <v>1</v>
      </c>
      <c r="E1" s="5">
        <f>sum(E6:E66)</f>
        <v>135000</v>
      </c>
      <c r="F1" s="3"/>
      <c r="G1" s="1" t="s">
        <v>2</v>
      </c>
      <c r="H1" s="6">
        <v>60.0</v>
      </c>
      <c r="I1" s="3"/>
      <c r="J1" s="7" t="s">
        <v>3</v>
      </c>
      <c r="K1" s="8" t="s">
        <v>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 t="s">
        <v>5</v>
      </c>
      <c r="B2" s="2">
        <f>EDATE(B1,H1-1)</f>
        <v>47086</v>
      </c>
      <c r="C2" s="3"/>
      <c r="D2" s="11" t="s">
        <v>6</v>
      </c>
      <c r="E2" s="12">
        <f>sum(F6:F18)</f>
        <v>0</v>
      </c>
      <c r="F2" s="3"/>
      <c r="G2" s="13" t="s">
        <v>7</v>
      </c>
      <c r="H2" s="14" t="s">
        <v>8</v>
      </c>
      <c r="I2" s="3"/>
      <c r="J2" s="13" t="s">
        <v>9</v>
      </c>
      <c r="K2" s="15">
        <v>4.0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0" t="s">
        <v>10</v>
      </c>
      <c r="B3" s="16">
        <v>0.067</v>
      </c>
      <c r="C3" s="3"/>
      <c r="D3" s="17" t="s">
        <v>11</v>
      </c>
      <c r="E3" s="12">
        <f>sum(H3*H1) + sum(G6:G18)</f>
        <v>302720.125</v>
      </c>
      <c r="F3" s="3"/>
      <c r="G3" s="13" t="s">
        <v>12</v>
      </c>
      <c r="H3" s="12">
        <v>5000.0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9"/>
      <c r="B4" s="9"/>
      <c r="C4" s="18"/>
      <c r="D4" s="18"/>
      <c r="E4" s="18"/>
      <c r="F4" s="1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9"/>
      <c r="B5" s="3"/>
      <c r="C5" s="19" t="s">
        <v>13</v>
      </c>
      <c r="D5" s="13" t="s">
        <v>14</v>
      </c>
      <c r="E5" s="13" t="s">
        <v>15</v>
      </c>
      <c r="F5" s="20" t="s">
        <v>6</v>
      </c>
      <c r="G5" s="21" t="s">
        <v>16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9"/>
      <c r="B6" s="3"/>
      <c r="C6" s="22">
        <f t="shared" ref="C6:C65" si="1">row()-5</f>
        <v>1</v>
      </c>
      <c r="D6" s="23">
        <f>B1</f>
        <v>45289</v>
      </c>
      <c r="E6" s="12">
        <f t="shared" ref="E6:E65" si="2">IF(D6-NOW() &lt;=0, $H$3, "")</f>
        <v>5000</v>
      </c>
      <c r="F6" s="2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9"/>
      <c r="B7" s="3"/>
      <c r="C7" s="22">
        <f t="shared" si="1"/>
        <v>2</v>
      </c>
      <c r="D7" s="25">
        <v>45306.0</v>
      </c>
      <c r="E7" s="12">
        <f t="shared" si="2"/>
        <v>5000</v>
      </c>
      <c r="F7" s="24"/>
      <c r="G7" s="9" t="str">
        <f t="shared" ref="G7:G65" si="3">IF(MOD(C7, $K$2), "", ($H$3*C7 + sum($G$5:G6))*$B$3*$K$2/12)</f>
        <v/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9"/>
      <c r="B8" s="3"/>
      <c r="C8" s="22">
        <f t="shared" si="1"/>
        <v>3</v>
      </c>
      <c r="D8" s="23">
        <f t="shared" ref="D8:D65" si="4">EDATE(D7, 1)</f>
        <v>45337</v>
      </c>
      <c r="E8" s="12">
        <f t="shared" si="2"/>
        <v>5000</v>
      </c>
      <c r="F8" s="24"/>
      <c r="G8" s="9" t="str">
        <f t="shared" si="3"/>
        <v/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9"/>
      <c r="B9" s="3"/>
      <c r="C9" s="22">
        <f t="shared" si="1"/>
        <v>4</v>
      </c>
      <c r="D9" s="23">
        <f t="shared" si="4"/>
        <v>45366</v>
      </c>
      <c r="E9" s="12">
        <f t="shared" si="2"/>
        <v>5000</v>
      </c>
      <c r="F9" s="24"/>
      <c r="G9" s="26">
        <f t="shared" si="3"/>
        <v>446.6666667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3"/>
      <c r="C10" s="22">
        <f t="shared" si="1"/>
        <v>5</v>
      </c>
      <c r="D10" s="23">
        <f t="shared" si="4"/>
        <v>45397</v>
      </c>
      <c r="E10" s="12">
        <f t="shared" si="2"/>
        <v>5000</v>
      </c>
      <c r="F10" s="24"/>
      <c r="G10" s="9" t="str">
        <f t="shared" si="3"/>
        <v/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3"/>
      <c r="C11" s="22">
        <f t="shared" si="1"/>
        <v>6</v>
      </c>
      <c r="D11" s="23">
        <f t="shared" si="4"/>
        <v>45427</v>
      </c>
      <c r="E11" s="12">
        <f t="shared" si="2"/>
        <v>5000</v>
      </c>
      <c r="F11" s="24"/>
      <c r="G11" s="9" t="str">
        <f t="shared" si="3"/>
        <v/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3"/>
      <c r="C12" s="22">
        <f t="shared" si="1"/>
        <v>7</v>
      </c>
      <c r="D12" s="23">
        <f t="shared" si="4"/>
        <v>45458</v>
      </c>
      <c r="E12" s="12">
        <f t="shared" si="2"/>
        <v>5000</v>
      </c>
      <c r="F12" s="24"/>
      <c r="G12" s="9" t="str">
        <f t="shared" si="3"/>
        <v/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3"/>
      <c r="C13" s="22">
        <f t="shared" si="1"/>
        <v>8</v>
      </c>
      <c r="D13" s="23">
        <f t="shared" si="4"/>
        <v>45488</v>
      </c>
      <c r="E13" s="12">
        <f t="shared" si="2"/>
        <v>5000</v>
      </c>
      <c r="F13" s="24"/>
      <c r="G13" s="26">
        <f t="shared" si="3"/>
        <v>903.3088889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3"/>
      <c r="C14" s="22">
        <f t="shared" si="1"/>
        <v>9</v>
      </c>
      <c r="D14" s="23">
        <f t="shared" si="4"/>
        <v>45519</v>
      </c>
      <c r="E14" s="27">
        <f t="shared" si="2"/>
        <v>5000</v>
      </c>
      <c r="F14" s="24"/>
      <c r="G14" s="9" t="str">
        <f t="shared" si="3"/>
        <v/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3"/>
      <c r="C15" s="22">
        <f t="shared" si="1"/>
        <v>10</v>
      </c>
      <c r="D15" s="23">
        <f t="shared" si="4"/>
        <v>45550</v>
      </c>
      <c r="E15" s="27">
        <f t="shared" si="2"/>
        <v>5000</v>
      </c>
      <c r="F15" s="24"/>
      <c r="G15" s="9" t="str">
        <f t="shared" si="3"/>
        <v/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3"/>
      <c r="C16" s="22">
        <f t="shared" si="1"/>
        <v>11</v>
      </c>
      <c r="D16" s="23">
        <f t="shared" si="4"/>
        <v>45580</v>
      </c>
      <c r="E16" s="27">
        <f t="shared" si="2"/>
        <v>5000</v>
      </c>
      <c r="F16" s="24"/>
      <c r="G16" s="9" t="str">
        <f t="shared" si="3"/>
        <v/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3"/>
      <c r="C17" s="22">
        <f t="shared" si="1"/>
        <v>12</v>
      </c>
      <c r="D17" s="23">
        <f t="shared" si="4"/>
        <v>45611</v>
      </c>
      <c r="E17" s="27">
        <f t="shared" si="2"/>
        <v>5000</v>
      </c>
      <c r="F17" s="24"/>
      <c r="G17" s="26">
        <f t="shared" si="3"/>
        <v>1370.149454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3"/>
      <c r="C18" s="22">
        <f t="shared" si="1"/>
        <v>13</v>
      </c>
      <c r="D18" s="23">
        <f t="shared" si="4"/>
        <v>45641</v>
      </c>
      <c r="E18" s="27">
        <f t="shared" si="2"/>
        <v>5000</v>
      </c>
      <c r="F18" s="24"/>
      <c r="G18" s="9" t="str">
        <f t="shared" si="3"/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3"/>
      <c r="C19" s="22">
        <f t="shared" si="1"/>
        <v>14</v>
      </c>
      <c r="D19" s="23">
        <f t="shared" si="4"/>
        <v>45672</v>
      </c>
      <c r="E19" s="27">
        <f t="shared" si="2"/>
        <v>5000</v>
      </c>
      <c r="F19" s="24"/>
      <c r="G19" s="9" t="str">
        <f t="shared" si="3"/>
        <v/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3"/>
      <c r="C20" s="22">
        <f t="shared" si="1"/>
        <v>15</v>
      </c>
      <c r="D20" s="23">
        <f t="shared" si="4"/>
        <v>45703</v>
      </c>
      <c r="E20" s="27">
        <f t="shared" si="2"/>
        <v>5000</v>
      </c>
      <c r="F20" s="24"/>
      <c r="G20" s="9" t="str">
        <f t="shared" si="3"/>
        <v/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3"/>
      <c r="C21" s="22">
        <f t="shared" si="1"/>
        <v>16</v>
      </c>
      <c r="D21" s="23">
        <f t="shared" si="4"/>
        <v>45731</v>
      </c>
      <c r="E21" s="27">
        <f t="shared" si="2"/>
        <v>5000</v>
      </c>
      <c r="F21" s="24"/>
      <c r="G21" s="26">
        <f t="shared" si="3"/>
        <v>1847.416125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3"/>
      <c r="C22" s="22">
        <f t="shared" si="1"/>
        <v>17</v>
      </c>
      <c r="D22" s="23">
        <f t="shared" si="4"/>
        <v>45762</v>
      </c>
      <c r="E22" s="27">
        <f t="shared" si="2"/>
        <v>5000</v>
      </c>
      <c r="F22" s="24"/>
      <c r="G22" s="9" t="str">
        <f t="shared" si="3"/>
        <v/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3"/>
      <c r="C23" s="22">
        <f t="shared" si="1"/>
        <v>18</v>
      </c>
      <c r="D23" s="23">
        <f t="shared" si="4"/>
        <v>45792</v>
      </c>
      <c r="E23" s="27">
        <f t="shared" si="2"/>
        <v>5000</v>
      </c>
      <c r="F23" s="24"/>
      <c r="G23" s="9" t="str">
        <f t="shared" si="3"/>
        <v/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3"/>
      <c r="C24" s="22">
        <f t="shared" si="1"/>
        <v>19</v>
      </c>
      <c r="D24" s="23">
        <f t="shared" si="4"/>
        <v>45823</v>
      </c>
      <c r="E24" s="27">
        <f t="shared" si="2"/>
        <v>5000</v>
      </c>
      <c r="F24" s="24"/>
      <c r="G24" s="9" t="str">
        <f t="shared" si="3"/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3"/>
      <c r="C25" s="22">
        <f t="shared" si="1"/>
        <v>20</v>
      </c>
      <c r="D25" s="23">
        <f t="shared" si="4"/>
        <v>45853</v>
      </c>
      <c r="E25" s="27">
        <f t="shared" si="2"/>
        <v>5000</v>
      </c>
      <c r="F25" s="24"/>
      <c r="G25" s="26">
        <f t="shared" si="3"/>
        <v>2335.341752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3"/>
      <c r="C26" s="22">
        <f t="shared" si="1"/>
        <v>21</v>
      </c>
      <c r="D26" s="23">
        <f t="shared" si="4"/>
        <v>45884</v>
      </c>
      <c r="E26" s="27">
        <f t="shared" si="2"/>
        <v>5000</v>
      </c>
      <c r="F26" s="24"/>
      <c r="G26" s="9" t="str">
        <f t="shared" si="3"/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3"/>
      <c r="C27" s="22">
        <f t="shared" si="1"/>
        <v>22</v>
      </c>
      <c r="D27" s="23">
        <f t="shared" si="4"/>
        <v>45915</v>
      </c>
      <c r="E27" s="27">
        <f t="shared" si="2"/>
        <v>5000</v>
      </c>
      <c r="F27" s="24"/>
      <c r="G27" s="9" t="str">
        <f t="shared" si="3"/>
        <v/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3"/>
      <c r="C28" s="22">
        <f t="shared" si="1"/>
        <v>23</v>
      </c>
      <c r="D28" s="23">
        <f t="shared" si="4"/>
        <v>45945</v>
      </c>
      <c r="E28" s="27">
        <f t="shared" si="2"/>
        <v>5000</v>
      </c>
      <c r="F28" s="24"/>
      <c r="G28" s="9" t="str">
        <f t="shared" si="3"/>
        <v/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3"/>
      <c r="C29" s="22">
        <f t="shared" si="1"/>
        <v>24</v>
      </c>
      <c r="D29" s="23">
        <f t="shared" si="4"/>
        <v>45976</v>
      </c>
      <c r="E29" s="27">
        <f t="shared" si="2"/>
        <v>5000</v>
      </c>
      <c r="F29" s="24"/>
      <c r="G29" s="26">
        <f t="shared" si="3"/>
        <v>2834.164384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3"/>
      <c r="C30" s="22">
        <f t="shared" si="1"/>
        <v>25</v>
      </c>
      <c r="D30" s="23">
        <f t="shared" si="4"/>
        <v>46006</v>
      </c>
      <c r="E30" s="27">
        <f t="shared" si="2"/>
        <v>5000</v>
      </c>
      <c r="F30" s="24"/>
      <c r="G30" s="9" t="str">
        <f t="shared" si="3"/>
        <v/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3"/>
      <c r="C31" s="22">
        <f t="shared" si="1"/>
        <v>26</v>
      </c>
      <c r="D31" s="23">
        <f t="shared" si="4"/>
        <v>46037</v>
      </c>
      <c r="E31" s="27">
        <f t="shared" si="2"/>
        <v>5000</v>
      </c>
      <c r="F31" s="24"/>
      <c r="G31" s="9" t="str">
        <f t="shared" si="3"/>
        <v/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3"/>
      <c r="C32" s="22">
        <f t="shared" si="1"/>
        <v>27</v>
      </c>
      <c r="D32" s="23">
        <f t="shared" si="4"/>
        <v>46068</v>
      </c>
      <c r="E32" s="27">
        <f t="shared" si="2"/>
        <v>5000</v>
      </c>
      <c r="F32" s="24"/>
      <c r="G32" s="9" t="str">
        <f t="shared" si="3"/>
        <v/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3"/>
      <c r="C33" s="22">
        <f t="shared" si="1"/>
        <v>28</v>
      </c>
      <c r="D33" s="23">
        <f t="shared" si="4"/>
        <v>46096</v>
      </c>
      <c r="E33" s="27" t="str">
        <f t="shared" si="2"/>
        <v/>
      </c>
      <c r="F33" s="24"/>
      <c r="G33" s="26">
        <f t="shared" si="3"/>
        <v>3344.127389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3"/>
      <c r="C34" s="22">
        <f t="shared" si="1"/>
        <v>29</v>
      </c>
      <c r="D34" s="23">
        <f t="shared" si="4"/>
        <v>46127</v>
      </c>
      <c r="E34" s="27" t="str">
        <f t="shared" si="2"/>
        <v/>
      </c>
      <c r="F34" s="24"/>
      <c r="G34" s="9" t="str">
        <f t="shared" si="3"/>
        <v/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3"/>
      <c r="C35" s="22">
        <f t="shared" si="1"/>
        <v>30</v>
      </c>
      <c r="D35" s="23">
        <f t="shared" si="4"/>
        <v>46157</v>
      </c>
      <c r="E35" s="27" t="str">
        <f t="shared" si="2"/>
        <v/>
      </c>
      <c r="F35" s="24"/>
      <c r="G35" s="9" t="str">
        <f t="shared" si="3"/>
        <v/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3"/>
      <c r="C36" s="22">
        <f t="shared" si="1"/>
        <v>31</v>
      </c>
      <c r="D36" s="23">
        <f t="shared" si="4"/>
        <v>46188</v>
      </c>
      <c r="E36" s="27" t="str">
        <f t="shared" si="2"/>
        <v/>
      </c>
      <c r="F36" s="24"/>
      <c r="G36" s="9" t="str">
        <f t="shared" si="3"/>
        <v/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3"/>
      <c r="C37" s="22">
        <f t="shared" si="1"/>
        <v>32</v>
      </c>
      <c r="D37" s="23">
        <f t="shared" si="4"/>
        <v>46218</v>
      </c>
      <c r="E37" s="27" t="str">
        <f t="shared" si="2"/>
        <v/>
      </c>
      <c r="F37" s="24"/>
      <c r="G37" s="26">
        <f t="shared" si="3"/>
        <v>3865.479567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3"/>
      <c r="C38" s="22">
        <f t="shared" si="1"/>
        <v>33</v>
      </c>
      <c r="D38" s="23">
        <f t="shared" si="4"/>
        <v>46249</v>
      </c>
      <c r="E38" s="27" t="str">
        <f t="shared" si="2"/>
        <v/>
      </c>
      <c r="F38" s="24"/>
      <c r="G38" s="9" t="str">
        <f t="shared" si="3"/>
        <v/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3"/>
      <c r="C39" s="22">
        <f t="shared" si="1"/>
        <v>34</v>
      </c>
      <c r="D39" s="23">
        <f t="shared" si="4"/>
        <v>46280</v>
      </c>
      <c r="E39" s="27" t="str">
        <f t="shared" si="2"/>
        <v/>
      </c>
      <c r="F39" s="24"/>
      <c r="G39" s="9" t="str">
        <f t="shared" si="3"/>
        <v/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3"/>
      <c r="C40" s="22">
        <f t="shared" si="1"/>
        <v>35</v>
      </c>
      <c r="D40" s="23">
        <f t="shared" si="4"/>
        <v>46310</v>
      </c>
      <c r="E40" s="27" t="str">
        <f t="shared" si="2"/>
        <v/>
      </c>
      <c r="F40" s="24"/>
      <c r="G40" s="9" t="str">
        <f t="shared" si="3"/>
        <v/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3"/>
      <c r="C41" s="22">
        <f t="shared" si="1"/>
        <v>36</v>
      </c>
      <c r="D41" s="23">
        <f t="shared" si="4"/>
        <v>46341</v>
      </c>
      <c r="E41" s="27" t="str">
        <f t="shared" si="2"/>
        <v/>
      </c>
      <c r="F41" s="24"/>
      <c r="G41" s="26">
        <f t="shared" si="3"/>
        <v>4398.475278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3"/>
      <c r="C42" s="22">
        <f t="shared" si="1"/>
        <v>37</v>
      </c>
      <c r="D42" s="23">
        <f t="shared" si="4"/>
        <v>46371</v>
      </c>
      <c r="E42" s="27" t="str">
        <f t="shared" si="2"/>
        <v/>
      </c>
      <c r="F42" s="24"/>
      <c r="G42" s="9" t="str">
        <f t="shared" si="3"/>
        <v/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3"/>
      <c r="C43" s="22">
        <f t="shared" si="1"/>
        <v>38</v>
      </c>
      <c r="D43" s="23">
        <f t="shared" si="4"/>
        <v>46402</v>
      </c>
      <c r="E43" s="27" t="str">
        <f t="shared" si="2"/>
        <v/>
      </c>
      <c r="F43" s="24"/>
      <c r="G43" s="9" t="str">
        <f t="shared" si="3"/>
        <v/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3"/>
      <c r="C44" s="22">
        <f t="shared" si="1"/>
        <v>39</v>
      </c>
      <c r="D44" s="23">
        <f t="shared" si="4"/>
        <v>46433</v>
      </c>
      <c r="E44" s="27" t="str">
        <f t="shared" si="2"/>
        <v/>
      </c>
      <c r="F44" s="24"/>
      <c r="G44" s="9" t="str">
        <f t="shared" si="3"/>
        <v/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3"/>
      <c r="C45" s="22">
        <f t="shared" si="1"/>
        <v>40</v>
      </c>
      <c r="D45" s="23">
        <f t="shared" si="4"/>
        <v>46461</v>
      </c>
      <c r="E45" s="27" t="str">
        <f t="shared" si="2"/>
        <v/>
      </c>
      <c r="F45" s="24"/>
      <c r="G45" s="26">
        <f t="shared" si="3"/>
        <v>4943.374559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3"/>
      <c r="C46" s="22">
        <f t="shared" si="1"/>
        <v>41</v>
      </c>
      <c r="D46" s="23">
        <f t="shared" si="4"/>
        <v>46492</v>
      </c>
      <c r="E46" s="27" t="str">
        <f t="shared" si="2"/>
        <v/>
      </c>
      <c r="F46" s="24"/>
      <c r="G46" s="9" t="str">
        <f t="shared" si="3"/>
        <v/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3"/>
      <c r="C47" s="22">
        <f t="shared" si="1"/>
        <v>42</v>
      </c>
      <c r="D47" s="23">
        <f t="shared" si="4"/>
        <v>46522</v>
      </c>
      <c r="E47" s="27" t="str">
        <f t="shared" si="2"/>
        <v/>
      </c>
      <c r="F47" s="24"/>
      <c r="G47" s="9" t="str">
        <f t="shared" si="3"/>
        <v/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3"/>
      <c r="C48" s="22">
        <f t="shared" si="1"/>
        <v>43</v>
      </c>
      <c r="D48" s="23">
        <f t="shared" si="4"/>
        <v>46553</v>
      </c>
      <c r="E48" s="27" t="str">
        <f t="shared" si="2"/>
        <v/>
      </c>
      <c r="F48" s="24"/>
      <c r="G48" s="9" t="str">
        <f t="shared" si="3"/>
        <v/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3"/>
      <c r="C49" s="22">
        <f t="shared" si="1"/>
        <v>44</v>
      </c>
      <c r="D49" s="23">
        <f t="shared" si="4"/>
        <v>46583</v>
      </c>
      <c r="E49" s="27" t="str">
        <f t="shared" si="2"/>
        <v/>
      </c>
      <c r="F49" s="24"/>
      <c r="G49" s="26">
        <f t="shared" si="3"/>
        <v>5500.443257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3"/>
      <c r="C50" s="22">
        <f t="shared" si="1"/>
        <v>45</v>
      </c>
      <c r="D50" s="23">
        <f t="shared" si="4"/>
        <v>46614</v>
      </c>
      <c r="E50" s="27" t="str">
        <f t="shared" si="2"/>
        <v/>
      </c>
      <c r="F50" s="24"/>
      <c r="G50" s="9" t="str">
        <f t="shared" si="3"/>
        <v/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3"/>
      <c r="C51" s="22">
        <f t="shared" si="1"/>
        <v>46</v>
      </c>
      <c r="D51" s="23">
        <f t="shared" si="4"/>
        <v>46645</v>
      </c>
      <c r="E51" s="27" t="str">
        <f t="shared" si="2"/>
        <v/>
      </c>
      <c r="F51" s="24"/>
      <c r="G51" s="9" t="str">
        <f t="shared" si="3"/>
        <v/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3"/>
      <c r="C52" s="22">
        <f t="shared" si="1"/>
        <v>47</v>
      </c>
      <c r="D52" s="23">
        <f t="shared" si="4"/>
        <v>46675</v>
      </c>
      <c r="E52" s="27" t="str">
        <f t="shared" si="2"/>
        <v/>
      </c>
      <c r="F52" s="24"/>
      <c r="G52" s="9" t="str">
        <f t="shared" si="3"/>
        <v/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3"/>
      <c r="C53" s="22">
        <f t="shared" si="1"/>
        <v>48</v>
      </c>
      <c r="D53" s="23">
        <f t="shared" si="4"/>
        <v>46706</v>
      </c>
      <c r="E53" s="27" t="str">
        <f t="shared" si="2"/>
        <v/>
      </c>
      <c r="F53" s="24"/>
      <c r="G53" s="26">
        <f t="shared" si="3"/>
        <v>6069.953157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3"/>
      <c r="C54" s="22">
        <f t="shared" si="1"/>
        <v>49</v>
      </c>
      <c r="D54" s="23">
        <f t="shared" si="4"/>
        <v>46736</v>
      </c>
      <c r="E54" s="27" t="str">
        <f t="shared" si="2"/>
        <v/>
      </c>
      <c r="F54" s="24"/>
      <c r="G54" s="9" t="str">
        <f t="shared" si="3"/>
        <v/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3"/>
      <c r="C55" s="22">
        <f t="shared" si="1"/>
        <v>50</v>
      </c>
      <c r="D55" s="23">
        <f t="shared" si="4"/>
        <v>46767</v>
      </c>
      <c r="E55" s="27" t="str">
        <f t="shared" si="2"/>
        <v/>
      </c>
      <c r="F55" s="24"/>
      <c r="G55" s="9" t="str">
        <f t="shared" si="3"/>
        <v/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3"/>
      <c r="C56" s="22">
        <f t="shared" si="1"/>
        <v>51</v>
      </c>
      <c r="D56" s="23">
        <f t="shared" si="4"/>
        <v>46798</v>
      </c>
      <c r="E56" s="27" t="str">
        <f t="shared" si="2"/>
        <v/>
      </c>
      <c r="F56" s="24"/>
      <c r="G56" s="9" t="str">
        <f t="shared" si="3"/>
        <v/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3"/>
      <c r="C57" s="22">
        <f t="shared" si="1"/>
        <v>52</v>
      </c>
      <c r="D57" s="23">
        <f t="shared" si="4"/>
        <v>46827</v>
      </c>
      <c r="E57" s="27" t="str">
        <f t="shared" si="2"/>
        <v/>
      </c>
      <c r="F57" s="24"/>
      <c r="G57" s="26">
        <f t="shared" si="3"/>
        <v>6652.182111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3"/>
      <c r="C58" s="22">
        <f t="shared" si="1"/>
        <v>53</v>
      </c>
      <c r="D58" s="23">
        <f t="shared" si="4"/>
        <v>46858</v>
      </c>
      <c r="E58" s="27" t="str">
        <f t="shared" si="2"/>
        <v/>
      </c>
      <c r="F58" s="24"/>
      <c r="G58" s="9" t="str">
        <f t="shared" si="3"/>
        <v/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3"/>
      <c r="C59" s="22">
        <f t="shared" si="1"/>
        <v>54</v>
      </c>
      <c r="D59" s="23">
        <f t="shared" si="4"/>
        <v>46888</v>
      </c>
      <c r="E59" s="27" t="str">
        <f t="shared" si="2"/>
        <v/>
      </c>
      <c r="F59" s="24"/>
      <c r="G59" s="9" t="str">
        <f t="shared" si="3"/>
        <v/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3"/>
      <c r="C60" s="22">
        <f t="shared" si="1"/>
        <v>55</v>
      </c>
      <c r="D60" s="23">
        <f t="shared" si="4"/>
        <v>46919</v>
      </c>
      <c r="E60" s="27" t="str">
        <f t="shared" si="2"/>
        <v/>
      </c>
      <c r="F60" s="24"/>
      <c r="G60" s="9" t="str">
        <f t="shared" si="3"/>
        <v/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3"/>
      <c r="C61" s="22">
        <f t="shared" si="1"/>
        <v>56</v>
      </c>
      <c r="D61" s="23">
        <f t="shared" si="4"/>
        <v>46949</v>
      </c>
      <c r="E61" s="27" t="str">
        <f t="shared" si="2"/>
        <v/>
      </c>
      <c r="F61" s="24"/>
      <c r="G61" s="26">
        <f t="shared" si="3"/>
        <v>7247.414178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3"/>
      <c r="C62" s="22">
        <f t="shared" si="1"/>
        <v>57</v>
      </c>
      <c r="D62" s="23">
        <f t="shared" si="4"/>
        <v>46980</v>
      </c>
      <c r="E62" s="27" t="str">
        <f t="shared" si="2"/>
        <v/>
      </c>
      <c r="F62" s="24"/>
      <c r="G62" s="9" t="str">
        <f t="shared" si="3"/>
        <v/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3"/>
      <c r="C63" s="22">
        <f t="shared" si="1"/>
        <v>58</v>
      </c>
      <c r="D63" s="23">
        <f t="shared" si="4"/>
        <v>47011</v>
      </c>
      <c r="E63" s="27" t="str">
        <f t="shared" si="2"/>
        <v/>
      </c>
      <c r="F63" s="24"/>
      <c r="G63" s="9" t="str">
        <f t="shared" si="3"/>
        <v/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3"/>
      <c r="C64" s="22">
        <f t="shared" si="1"/>
        <v>59</v>
      </c>
      <c r="D64" s="23">
        <f t="shared" si="4"/>
        <v>47041</v>
      </c>
      <c r="E64" s="27" t="str">
        <f t="shared" si="2"/>
        <v/>
      </c>
      <c r="F64" s="24"/>
      <c r="G64" s="9" t="str">
        <f t="shared" si="3"/>
        <v/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3"/>
      <c r="C65" s="22">
        <f t="shared" si="1"/>
        <v>60</v>
      </c>
      <c r="D65" s="23">
        <f t="shared" si="4"/>
        <v>47072</v>
      </c>
      <c r="E65" s="27" t="str">
        <f t="shared" si="2"/>
        <v/>
      </c>
      <c r="F65" s="24"/>
      <c r="G65" s="26">
        <f t="shared" si="3"/>
        <v>7855.939761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28">
        <f>IF(MOD(C66, 3), "", ($H$3*C66 + sum($F$6:F65))*$B$3)</f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2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2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2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2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2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2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2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2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2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2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2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2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2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2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2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2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2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2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2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2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2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2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2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2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2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2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2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2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2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2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2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2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2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2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2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2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2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2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2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2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2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2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2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2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2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2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2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2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2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2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2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2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2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2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2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2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2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2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2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2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2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2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2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2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2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2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2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2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2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2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2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2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2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2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2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2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2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2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2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2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2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2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2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2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2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2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2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2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2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2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2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2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2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2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2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2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2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2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2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2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2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2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2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2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2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2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2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2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2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2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2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2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2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2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2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2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2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2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2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2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2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2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2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2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2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2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2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2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2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2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2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2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2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2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2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2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2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2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2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2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2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2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2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2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2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2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drawing r:id="rId1"/>
</worksheet>
</file>