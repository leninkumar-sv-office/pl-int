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<sst xmlns="http://schemas.openxmlformats.org/spreadsheetml/2006/main" count="18" uniqueCount="17">
  <si>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</si>
  <si>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</si>
  <si>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Months</t>
  </si>
  <si>
    <t>Bank</t>
  </si>
  <si>
    <t>Post Office</t>
  </si>
  <si>
    <t>End Date</t>
  </si>
  <si>
    <t>Interest Earned</t>
  </si>
  <si>
    <t>Interest Payout</t>
  </si>
  <si>
    <t>Maturity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</si>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</sst>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3.13"/>
    <col customWidth="1" min="7" max="7" width="16.5"/>
  </cols>
  <sheetData>
    <row r="1">
      <c r="A1" s="1" t="s">
        <v>0</v>
      </c>
      <c r="B1" s="2">
        <v>45640.0</v>
      </c>
      <c r="D1" s="3" t="s">
        <v>1</v>
      </c>
      <c r="E1" s="4">
        <f>sum(E6:E66)</f>
        <v>30000</v>
      </c>
      <c r="G1" s="5" t="s">
        <v>2</v>
      </c>
      <c r="H1" s="6">
        <v>60.0</v>
      </c>
      <c r="J1" s="1" t="s">
        <v>3</v>
      </c>
      <c r="K1" s="7" t="s">
        <v>4</v>
      </c>
    </row>
    <row r="2">
      <c r="A2" s="1" t="s">
        <v>5</v>
      </c>
      <c r="B2" s="2">
        <f>EDATE(B1,H1-1)</f>
        <v>47436</v>
      </c>
      <c r="D2" s="8" t="s">
        <v>6</v>
      </c>
      <c r="E2" s="9">
        <f>sum(F6:F18)</f>
        <v>0</v>
      </c>
      <c r="G2" s="1" t="s">
        <v>7</v>
      </c>
      <c r="H2" s="7" t="s">
        <v>8</v>
      </c>
      <c r="J2" s="1" t="s">
        <v>9</v>
      </c>
      <c r="K2" s="7">
        <v>4.0</v>
      </c>
    </row>
    <row r="3">
      <c r="A3" s="1" t="s">
        <v>10</v>
      </c>
      <c r="B3" s="10">
        <v>0.067</v>
      </c>
      <c r="D3" s="11" t="s">
        <v>11</v>
      </c>
      <c r="E3" s="12">
        <f>sum(H3*H1) + sum(G6:G18)</f>
        <v>121088.05</v>
      </c>
      <c r="G3" s="1" t="s">
        <v>12</v>
      </c>
      <c r="H3" s="13">
        <v>2000.0</v>
      </c>
    </row>
    <row r="4">
      <c r="G4" s="14"/>
    </row>
    <row r="5">
      <c r="C5" s="15" t="s">
        <v>13</v>
      </c>
      <c r="D5" s="1" t="s">
        <v>14</v>
      </c>
      <c r="E5" s="1" t="s">
        <v>15</v>
      </c>
      <c r="F5" s="15" t="s">
        <v>6</v>
      </c>
      <c r="G5" s="16" t="s">
        <v>16</v>
      </c>
    </row>
    <row r="6">
      <c r="C6" s="17">
        <f t="shared" ref="C6:C65" si="1">row()-5</f>
        <v>1</v>
      </c>
      <c r="D6" s="18">
        <f>B1</f>
        <v>45640</v>
      </c>
      <c r="E6" s="19">
        <f t="shared" ref="E6:E65" si="2">IF(D6-NOW() &lt;=0, $H$3, "")</f>
        <v>2000</v>
      </c>
      <c r="F6" s="20"/>
      <c r="G6" s="21"/>
    </row>
    <row r="7">
      <c r="C7" s="17">
        <f t="shared" si="1"/>
        <v>2</v>
      </c>
      <c r="D7" s="18">
        <f t="shared" ref="D7:D65" si="3">EDATE(D6, 1)</f>
        <v>45671</v>
      </c>
      <c r="E7" s="19">
        <f t="shared" si="2"/>
        <v>2000</v>
      </c>
      <c r="F7" s="20"/>
      <c r="G7" s="21" t="str">
        <f t="shared" ref="G7:G65" si="4">IF(MOD(C7, $K$2), "", ($H$3*C7 + sum($G$5:G6))*$B$3*$K$2/12)</f>
        <v/>
      </c>
    </row>
    <row r="8">
      <c r="C8" s="17">
        <f t="shared" si="1"/>
        <v>3</v>
      </c>
      <c r="D8" s="18">
        <f t="shared" si="3"/>
        <v>45702</v>
      </c>
      <c r="E8" s="19">
        <f t="shared" si="2"/>
        <v>2000</v>
      </c>
      <c r="F8" s="20"/>
      <c r="G8" s="21" t="str">
        <f t="shared" si="4"/>
        <v/>
      </c>
    </row>
    <row r="9">
      <c r="C9" s="17">
        <f t="shared" si="1"/>
        <v>4</v>
      </c>
      <c r="D9" s="18">
        <f t="shared" si="3"/>
        <v>45730</v>
      </c>
      <c r="E9" s="19">
        <f t="shared" si="2"/>
        <v>2000</v>
      </c>
      <c r="F9" s="20"/>
      <c r="G9" s="22">
        <f t="shared" si="4"/>
        <v>178.6666667</v>
      </c>
    </row>
    <row r="10">
      <c r="C10" s="17">
        <f t="shared" si="1"/>
        <v>5</v>
      </c>
      <c r="D10" s="18">
        <f t="shared" si="3"/>
        <v>45761</v>
      </c>
      <c r="E10" s="19">
        <f t="shared" si="2"/>
        <v>2000</v>
      </c>
      <c r="F10" s="20"/>
      <c r="G10" s="21" t="str">
        <f t="shared" si="4"/>
        <v/>
      </c>
    </row>
    <row r="11">
      <c r="C11" s="17">
        <f t="shared" si="1"/>
        <v>6</v>
      </c>
      <c r="D11" s="18">
        <f t="shared" si="3"/>
        <v>45791</v>
      </c>
      <c r="E11" s="19">
        <f t="shared" si="2"/>
        <v>2000</v>
      </c>
      <c r="F11" s="20"/>
      <c r="G11" s="21" t="str">
        <f t="shared" si="4"/>
        <v/>
      </c>
    </row>
    <row r="12">
      <c r="C12" s="17">
        <f t="shared" si="1"/>
        <v>7</v>
      </c>
      <c r="D12" s="18">
        <f t="shared" si="3"/>
        <v>45822</v>
      </c>
      <c r="E12" s="19">
        <f t="shared" si="2"/>
        <v>2000</v>
      </c>
      <c r="F12" s="20"/>
      <c r="G12" s="21" t="str">
        <f t="shared" si="4"/>
        <v/>
      </c>
    </row>
    <row r="13">
      <c r="C13" s="17">
        <f t="shared" si="1"/>
        <v>8</v>
      </c>
      <c r="D13" s="18">
        <f t="shared" si="3"/>
        <v>45852</v>
      </c>
      <c r="E13" s="19">
        <f t="shared" si="2"/>
        <v>2000</v>
      </c>
      <c r="F13" s="20"/>
      <c r="G13" s="22">
        <f t="shared" si="4"/>
        <v>361.3235556</v>
      </c>
    </row>
    <row r="14">
      <c r="C14" s="17">
        <f t="shared" si="1"/>
        <v>9</v>
      </c>
      <c r="D14" s="18">
        <f t="shared" si="3"/>
        <v>45883</v>
      </c>
      <c r="E14" s="19">
        <f t="shared" si="2"/>
        <v>2000</v>
      </c>
      <c r="F14" s="20"/>
      <c r="G14" s="21" t="str">
        <f t="shared" si="4"/>
        <v/>
      </c>
    </row>
    <row r="15">
      <c r="C15" s="17">
        <f t="shared" si="1"/>
        <v>10</v>
      </c>
      <c r="D15" s="18">
        <f t="shared" si="3"/>
        <v>45914</v>
      </c>
      <c r="E15" s="19">
        <f t="shared" si="2"/>
        <v>2000</v>
      </c>
      <c r="F15" s="20"/>
      <c r="G15" s="21" t="str">
        <f t="shared" si="4"/>
        <v/>
      </c>
    </row>
    <row r="16">
      <c r="C16" s="17">
        <f t="shared" si="1"/>
        <v>11</v>
      </c>
      <c r="D16" s="18">
        <f t="shared" si="3"/>
        <v>45944</v>
      </c>
      <c r="E16" s="19">
        <f t="shared" si="2"/>
        <v>2000</v>
      </c>
      <c r="F16" s="20"/>
      <c r="G16" s="21" t="str">
        <f t="shared" si="4"/>
        <v/>
      </c>
    </row>
    <row r="17">
      <c r="C17" s="17">
        <f t="shared" si="1"/>
        <v>12</v>
      </c>
      <c r="D17" s="18">
        <f t="shared" si="3"/>
        <v>45975</v>
      </c>
      <c r="E17" s="19">
        <f t="shared" si="2"/>
        <v>2000</v>
      </c>
      <c r="F17" s="20"/>
      <c r="G17" s="22">
        <f t="shared" si="4"/>
        <v>548.0597816</v>
      </c>
    </row>
    <row r="18">
      <c r="C18" s="17">
        <f t="shared" si="1"/>
        <v>13</v>
      </c>
      <c r="D18" s="18">
        <f t="shared" si="3"/>
        <v>46005</v>
      </c>
      <c r="E18" s="19">
        <f t="shared" si="2"/>
        <v>2000</v>
      </c>
      <c r="F18" s="20"/>
      <c r="G18" s="21" t="str">
        <f t="shared" si="4"/>
        <v/>
      </c>
    </row>
    <row r="19">
      <c r="C19" s="17">
        <f t="shared" si="1"/>
        <v>14</v>
      </c>
      <c r="D19" s="18">
        <f t="shared" si="3"/>
        <v>46036</v>
      </c>
      <c r="E19" s="19">
        <f t="shared" si="2"/>
        <v>2000</v>
      </c>
      <c r="F19" s="20"/>
      <c r="G19" s="21" t="str">
        <f t="shared" si="4"/>
        <v/>
      </c>
    </row>
    <row r="20">
      <c r="C20" s="17">
        <f t="shared" si="1"/>
        <v>15</v>
      </c>
      <c r="D20" s="18">
        <f t="shared" si="3"/>
        <v>46067</v>
      </c>
      <c r="E20" s="19">
        <f t="shared" si="2"/>
        <v>2000</v>
      </c>
      <c r="F20" s="20"/>
      <c r="G20" s="21" t="str">
        <f t="shared" si="4"/>
        <v/>
      </c>
    </row>
    <row r="21">
      <c r="C21" s="17">
        <f t="shared" si="1"/>
        <v>16</v>
      </c>
      <c r="D21" s="18">
        <f t="shared" si="3"/>
        <v>46095</v>
      </c>
      <c r="E21" s="19" t="str">
        <f t="shared" si="2"/>
        <v/>
      </c>
      <c r="F21" s="20"/>
      <c r="G21" s="22">
        <f t="shared" si="4"/>
        <v>738.9664501</v>
      </c>
    </row>
    <row r="22">
      <c r="C22" s="17">
        <f t="shared" si="1"/>
        <v>17</v>
      </c>
      <c r="D22" s="18">
        <f t="shared" si="3"/>
        <v>46126</v>
      </c>
      <c r="E22" s="19" t="str">
        <f t="shared" si="2"/>
        <v/>
      </c>
      <c r="F22" s="20"/>
      <c r="G22" s="21" t="str">
        <f t="shared" si="4"/>
        <v/>
      </c>
    </row>
    <row r="23">
      <c r="C23" s="17">
        <f t="shared" si="1"/>
        <v>18</v>
      </c>
      <c r="D23" s="18">
        <f t="shared" si="3"/>
        <v>46156</v>
      </c>
      <c r="E23" s="19" t="str">
        <f t="shared" si="2"/>
        <v/>
      </c>
      <c r="F23" s="20"/>
      <c r="G23" s="21" t="str">
        <f t="shared" si="4"/>
        <v/>
      </c>
    </row>
    <row r="24">
      <c r="C24" s="17">
        <f t="shared" si="1"/>
        <v>19</v>
      </c>
      <c r="D24" s="18">
        <f t="shared" si="3"/>
        <v>46187</v>
      </c>
      <c r="E24" s="19" t="str">
        <f t="shared" si="2"/>
        <v/>
      </c>
      <c r="F24" s="20"/>
      <c r="G24" s="21" t="str">
        <f t="shared" si="4"/>
        <v/>
      </c>
    </row>
    <row r="25">
      <c r="C25" s="17">
        <f t="shared" si="1"/>
        <v>20</v>
      </c>
      <c r="D25" s="18">
        <f t="shared" si="3"/>
        <v>46217</v>
      </c>
      <c r="E25" s="19" t="str">
        <f t="shared" si="2"/>
        <v/>
      </c>
      <c r="F25" s="20"/>
      <c r="G25" s="22">
        <f t="shared" si="4"/>
        <v>934.1367008</v>
      </c>
    </row>
    <row r="26">
      <c r="C26" s="17">
        <f t="shared" si="1"/>
        <v>21</v>
      </c>
      <c r="D26" s="18">
        <f t="shared" si="3"/>
        <v>46248</v>
      </c>
      <c r="E26" s="19" t="str">
        <f t="shared" si="2"/>
        <v/>
      </c>
      <c r="F26" s="20"/>
      <c r="G26" s="21" t="str">
        <f t="shared" si="4"/>
        <v/>
      </c>
    </row>
    <row r="27">
      <c r="C27" s="17">
        <f t="shared" si="1"/>
        <v>22</v>
      </c>
      <c r="D27" s="18">
        <f t="shared" si="3"/>
        <v>46279</v>
      </c>
      <c r="E27" s="19" t="str">
        <f t="shared" si="2"/>
        <v/>
      </c>
      <c r="F27" s="20"/>
      <c r="G27" s="21" t="str">
        <f t="shared" si="4"/>
        <v/>
      </c>
    </row>
    <row r="28">
      <c r="C28" s="17">
        <f t="shared" si="1"/>
        <v>23</v>
      </c>
      <c r="D28" s="18">
        <f t="shared" si="3"/>
        <v>46309</v>
      </c>
      <c r="E28" s="19" t="str">
        <f t="shared" si="2"/>
        <v/>
      </c>
      <c r="F28" s="20"/>
      <c r="G28" s="21" t="str">
        <f t="shared" si="4"/>
        <v/>
      </c>
    </row>
    <row r="29">
      <c r="C29" s="17">
        <f t="shared" si="1"/>
        <v>24</v>
      </c>
      <c r="D29" s="18">
        <f t="shared" si="3"/>
        <v>46340</v>
      </c>
      <c r="E29" s="19" t="str">
        <f t="shared" si="2"/>
        <v/>
      </c>
      <c r="F29" s="20"/>
      <c r="G29" s="22">
        <f t="shared" si="4"/>
        <v>1133.665754</v>
      </c>
    </row>
    <row r="30">
      <c r="C30" s="17">
        <f t="shared" si="1"/>
        <v>25</v>
      </c>
      <c r="D30" s="18">
        <f t="shared" si="3"/>
        <v>46370</v>
      </c>
      <c r="E30" s="19" t="str">
        <f t="shared" si="2"/>
        <v/>
      </c>
      <c r="F30" s="20"/>
      <c r="G30" s="21" t="str">
        <f t="shared" si="4"/>
        <v/>
      </c>
    </row>
    <row r="31">
      <c r="C31" s="17">
        <f t="shared" si="1"/>
        <v>26</v>
      </c>
      <c r="D31" s="18">
        <f t="shared" si="3"/>
        <v>46401</v>
      </c>
      <c r="E31" s="19" t="str">
        <f t="shared" si="2"/>
        <v/>
      </c>
      <c r="F31" s="20"/>
      <c r="G31" s="21" t="str">
        <f t="shared" si="4"/>
        <v/>
      </c>
    </row>
    <row r="32">
      <c r="C32" s="17">
        <f t="shared" si="1"/>
        <v>27</v>
      </c>
      <c r="D32" s="18">
        <f t="shared" si="3"/>
        <v>46432</v>
      </c>
      <c r="E32" s="19" t="str">
        <f t="shared" si="2"/>
        <v/>
      </c>
      <c r="F32" s="20"/>
      <c r="G32" s="21" t="str">
        <f t="shared" si="4"/>
        <v/>
      </c>
    </row>
    <row r="33">
      <c r="C33" s="17">
        <f t="shared" si="1"/>
        <v>28</v>
      </c>
      <c r="D33" s="18">
        <f t="shared" si="3"/>
        <v>46460</v>
      </c>
      <c r="E33" s="19" t="str">
        <f t="shared" si="2"/>
        <v/>
      </c>
      <c r="F33" s="20"/>
      <c r="G33" s="22">
        <f t="shared" si="4"/>
        <v>1337.650956</v>
      </c>
    </row>
    <row r="34">
      <c r="C34" s="17">
        <f t="shared" si="1"/>
        <v>29</v>
      </c>
      <c r="D34" s="18">
        <f t="shared" si="3"/>
        <v>46491</v>
      </c>
      <c r="E34" s="19" t="str">
        <f t="shared" si="2"/>
        <v/>
      </c>
      <c r="F34" s="20"/>
      <c r="G34" s="21" t="str">
        <f t="shared" si="4"/>
        <v/>
      </c>
    </row>
    <row r="35">
      <c r="C35" s="17">
        <f t="shared" si="1"/>
        <v>30</v>
      </c>
      <c r="D35" s="18">
        <f t="shared" si="3"/>
        <v>46521</v>
      </c>
      <c r="E35" s="19" t="str">
        <f t="shared" si="2"/>
        <v/>
      </c>
      <c r="F35" s="20"/>
      <c r="G35" s="21" t="str">
        <f t="shared" si="4"/>
        <v/>
      </c>
    </row>
    <row r="36">
      <c r="C36" s="17">
        <f t="shared" si="1"/>
        <v>31</v>
      </c>
      <c r="D36" s="18">
        <f t="shared" si="3"/>
        <v>46552</v>
      </c>
      <c r="E36" s="19" t="str">
        <f t="shared" si="2"/>
        <v/>
      </c>
      <c r="F36" s="20"/>
      <c r="G36" s="21" t="str">
        <f t="shared" si="4"/>
        <v/>
      </c>
    </row>
    <row r="37">
      <c r="C37" s="17">
        <f t="shared" si="1"/>
        <v>32</v>
      </c>
      <c r="D37" s="18">
        <f t="shared" si="3"/>
        <v>46582</v>
      </c>
      <c r="E37" s="19" t="str">
        <f t="shared" si="2"/>
        <v/>
      </c>
      <c r="F37" s="20"/>
      <c r="G37" s="22">
        <f t="shared" si="4"/>
        <v>1546.191827</v>
      </c>
    </row>
    <row r="38">
      <c r="C38" s="17">
        <f t="shared" si="1"/>
        <v>33</v>
      </c>
      <c r="D38" s="18">
        <f t="shared" si="3"/>
        <v>46613</v>
      </c>
      <c r="E38" s="19" t="str">
        <f t="shared" si="2"/>
        <v/>
      </c>
      <c r="F38" s="20"/>
      <c r="G38" s="21" t="str">
        <f t="shared" si="4"/>
        <v/>
      </c>
    </row>
    <row r="39">
      <c r="C39" s="17">
        <f t="shared" si="1"/>
        <v>34</v>
      </c>
      <c r="D39" s="18">
        <f t="shared" si="3"/>
        <v>46644</v>
      </c>
      <c r="E39" s="19" t="str">
        <f t="shared" si="2"/>
        <v/>
      </c>
      <c r="F39" s="20"/>
      <c r="G39" s="21" t="str">
        <f t="shared" si="4"/>
        <v/>
      </c>
    </row>
    <row r="40">
      <c r="C40" s="17">
        <f t="shared" si="1"/>
        <v>35</v>
      </c>
      <c r="D40" s="18">
        <f t="shared" si="3"/>
        <v>46674</v>
      </c>
      <c r="E40" s="19" t="str">
        <f t="shared" si="2"/>
        <v/>
      </c>
      <c r="F40" s="20"/>
      <c r="G40" s="21" t="str">
        <f t="shared" si="4"/>
        <v/>
      </c>
    </row>
    <row r="41">
      <c r="C41" s="17">
        <f t="shared" si="1"/>
        <v>36</v>
      </c>
      <c r="D41" s="18">
        <f t="shared" si="3"/>
        <v>46705</v>
      </c>
      <c r="E41" s="19" t="str">
        <f t="shared" si="2"/>
        <v/>
      </c>
      <c r="F41" s="20"/>
      <c r="G41" s="22">
        <f t="shared" si="4"/>
        <v>1759.390111</v>
      </c>
    </row>
    <row r="42">
      <c r="C42" s="17">
        <f t="shared" si="1"/>
        <v>37</v>
      </c>
      <c r="D42" s="18">
        <f t="shared" si="3"/>
        <v>46735</v>
      </c>
      <c r="E42" s="19" t="str">
        <f t="shared" si="2"/>
        <v/>
      </c>
      <c r="F42" s="20"/>
      <c r="G42" s="21" t="str">
        <f t="shared" si="4"/>
        <v/>
      </c>
    </row>
    <row r="43">
      <c r="C43" s="17">
        <f t="shared" si="1"/>
        <v>38</v>
      </c>
      <c r="D43" s="18">
        <f t="shared" si="3"/>
        <v>46766</v>
      </c>
      <c r="E43" s="19" t="str">
        <f t="shared" si="2"/>
        <v/>
      </c>
      <c r="F43" s="20"/>
      <c r="G43" s="21" t="str">
        <f t="shared" si="4"/>
        <v/>
      </c>
    </row>
    <row r="44">
      <c r="C44" s="17">
        <f t="shared" si="1"/>
        <v>39</v>
      </c>
      <c r="D44" s="18">
        <f t="shared" si="3"/>
        <v>46797</v>
      </c>
      <c r="E44" s="19" t="str">
        <f t="shared" si="2"/>
        <v/>
      </c>
      <c r="F44" s="20"/>
      <c r="G44" s="21" t="str">
        <f t="shared" si="4"/>
        <v/>
      </c>
    </row>
    <row r="45">
      <c r="C45" s="17">
        <f t="shared" si="1"/>
        <v>40</v>
      </c>
      <c r="D45" s="18">
        <f t="shared" si="3"/>
        <v>46826</v>
      </c>
      <c r="E45" s="19" t="str">
        <f t="shared" si="2"/>
        <v/>
      </c>
      <c r="F45" s="20"/>
      <c r="G45" s="22">
        <f t="shared" si="4"/>
        <v>1977.349824</v>
      </c>
    </row>
    <row r="46">
      <c r="C46" s="17">
        <f t="shared" si="1"/>
        <v>41</v>
      </c>
      <c r="D46" s="18">
        <f t="shared" si="3"/>
        <v>46857</v>
      </c>
      <c r="E46" s="19" t="str">
        <f t="shared" si="2"/>
        <v/>
      </c>
      <c r="F46" s="20"/>
      <c r="G46" s="21" t="str">
        <f t="shared" si="4"/>
        <v/>
      </c>
    </row>
    <row r="47">
      <c r="C47" s="17">
        <f t="shared" si="1"/>
        <v>42</v>
      </c>
      <c r="D47" s="18">
        <f t="shared" si="3"/>
        <v>46887</v>
      </c>
      <c r="E47" s="19" t="str">
        <f t="shared" si="2"/>
        <v/>
      </c>
      <c r="F47" s="20"/>
      <c r="G47" s="21" t="str">
        <f t="shared" si="4"/>
        <v/>
      </c>
    </row>
    <row r="48">
      <c r="C48" s="17">
        <f t="shared" si="1"/>
        <v>43</v>
      </c>
      <c r="D48" s="18">
        <f t="shared" si="3"/>
        <v>46918</v>
      </c>
      <c r="E48" s="19" t="str">
        <f t="shared" si="2"/>
        <v/>
      </c>
      <c r="F48" s="20"/>
      <c r="G48" s="21" t="str">
        <f t="shared" si="4"/>
        <v/>
      </c>
    </row>
    <row r="49">
      <c r="C49" s="17">
        <f t="shared" si="1"/>
        <v>44</v>
      </c>
      <c r="D49" s="18">
        <f t="shared" si="3"/>
        <v>46948</v>
      </c>
      <c r="E49" s="19" t="str">
        <f t="shared" si="2"/>
        <v/>
      </c>
      <c r="F49" s="20"/>
      <c r="G49" s="22">
        <f t="shared" si="4"/>
        <v>2200.177303</v>
      </c>
    </row>
    <row r="50">
      <c r="C50" s="17">
        <f t="shared" si="1"/>
        <v>45</v>
      </c>
      <c r="D50" s="18">
        <f t="shared" si="3"/>
        <v>46979</v>
      </c>
      <c r="E50" s="19" t="str">
        <f t="shared" si="2"/>
        <v/>
      </c>
      <c r="F50" s="20"/>
      <c r="G50" s="21" t="str">
        <f t="shared" si="4"/>
        <v/>
      </c>
    </row>
    <row r="51">
      <c r="C51" s="17">
        <f t="shared" si="1"/>
        <v>46</v>
      </c>
      <c r="D51" s="18">
        <f t="shared" si="3"/>
        <v>47010</v>
      </c>
      <c r="E51" s="19" t="str">
        <f t="shared" si="2"/>
        <v/>
      </c>
      <c r="F51" s="20"/>
      <c r="G51" s="21" t="str">
        <f t="shared" si="4"/>
        <v/>
      </c>
    </row>
    <row r="52">
      <c r="C52" s="17">
        <f t="shared" si="1"/>
        <v>47</v>
      </c>
      <c r="D52" s="18">
        <f t="shared" si="3"/>
        <v>47040</v>
      </c>
      <c r="E52" s="19" t="str">
        <f t="shared" si="2"/>
        <v/>
      </c>
      <c r="F52" s="20"/>
      <c r="G52" s="21" t="str">
        <f t="shared" si="4"/>
        <v/>
      </c>
    </row>
    <row r="53">
      <c r="C53" s="17">
        <f t="shared" si="1"/>
        <v>48</v>
      </c>
      <c r="D53" s="18">
        <f t="shared" si="3"/>
        <v>47071</v>
      </c>
      <c r="E53" s="19" t="str">
        <f t="shared" si="2"/>
        <v/>
      </c>
      <c r="F53" s="20"/>
      <c r="G53" s="22">
        <f t="shared" si="4"/>
        <v>2427.981263</v>
      </c>
    </row>
    <row r="54">
      <c r="C54" s="17">
        <f t="shared" si="1"/>
        <v>49</v>
      </c>
      <c r="D54" s="18">
        <f t="shared" si="3"/>
        <v>47101</v>
      </c>
      <c r="E54" s="19" t="str">
        <f t="shared" si="2"/>
        <v/>
      </c>
      <c r="F54" s="20"/>
      <c r="G54" s="21" t="str">
        <f t="shared" si="4"/>
        <v/>
      </c>
    </row>
    <row r="55">
      <c r="C55" s="17">
        <f t="shared" si="1"/>
        <v>50</v>
      </c>
      <c r="D55" s="18">
        <f t="shared" si="3"/>
        <v>47132</v>
      </c>
      <c r="E55" s="19" t="str">
        <f t="shared" si="2"/>
        <v/>
      </c>
      <c r="F55" s="20"/>
      <c r="G55" s="21" t="str">
        <f t="shared" si="4"/>
        <v/>
      </c>
    </row>
    <row r="56">
      <c r="C56" s="17">
        <f t="shared" si="1"/>
        <v>51</v>
      </c>
      <c r="D56" s="18">
        <f t="shared" si="3"/>
        <v>47163</v>
      </c>
      <c r="E56" s="19" t="str">
        <f t="shared" si="2"/>
        <v/>
      </c>
      <c r="F56" s="20"/>
      <c r="G56" s="21" t="str">
        <f t="shared" si="4"/>
        <v/>
      </c>
    </row>
    <row r="57">
      <c r="C57" s="17">
        <f t="shared" si="1"/>
        <v>52</v>
      </c>
      <c r="D57" s="18">
        <f t="shared" si="3"/>
        <v>47191</v>
      </c>
      <c r="E57" s="19" t="str">
        <f t="shared" si="2"/>
        <v/>
      </c>
      <c r="F57" s="20"/>
      <c r="G57" s="22">
        <f t="shared" si="4"/>
        <v>2660.872844</v>
      </c>
    </row>
    <row r="58">
      <c r="C58" s="17">
        <f t="shared" si="1"/>
        <v>53</v>
      </c>
      <c r="D58" s="18">
        <f t="shared" si="3"/>
        <v>47222</v>
      </c>
      <c r="E58" s="19" t="str">
        <f t="shared" si="2"/>
        <v/>
      </c>
      <c r="F58" s="20"/>
      <c r="G58" s="21" t="str">
        <f t="shared" si="4"/>
        <v/>
      </c>
    </row>
    <row r="59">
      <c r="C59" s="17">
        <f t="shared" si="1"/>
        <v>54</v>
      </c>
      <c r="D59" s="18">
        <f t="shared" si="3"/>
        <v>47252</v>
      </c>
      <c r="E59" s="19" t="str">
        <f t="shared" si="2"/>
        <v/>
      </c>
      <c r="F59" s="20"/>
      <c r="G59" s="21" t="str">
        <f t="shared" si="4"/>
        <v/>
      </c>
    </row>
    <row r="60">
      <c r="C60" s="17">
        <f t="shared" si="1"/>
        <v>55</v>
      </c>
      <c r="D60" s="18">
        <f t="shared" si="3"/>
        <v>47283</v>
      </c>
      <c r="E60" s="19" t="str">
        <f t="shared" si="2"/>
        <v/>
      </c>
      <c r="F60" s="20"/>
      <c r="G60" s="21" t="str">
        <f t="shared" si="4"/>
        <v/>
      </c>
    </row>
    <row r="61">
      <c r="C61" s="17">
        <f t="shared" si="1"/>
        <v>56</v>
      </c>
      <c r="D61" s="18">
        <f t="shared" si="3"/>
        <v>47313</v>
      </c>
      <c r="E61" s="19" t="str">
        <f t="shared" si="2"/>
        <v/>
      </c>
      <c r="F61" s="20"/>
      <c r="G61" s="22">
        <f t="shared" si="4"/>
        <v>2898.965671</v>
      </c>
    </row>
    <row r="62">
      <c r="C62" s="17">
        <f t="shared" si="1"/>
        <v>57</v>
      </c>
      <c r="D62" s="18">
        <f t="shared" si="3"/>
        <v>47344</v>
      </c>
      <c r="E62" s="19" t="str">
        <f t="shared" si="2"/>
        <v/>
      </c>
      <c r="F62" s="20"/>
      <c r="G62" s="21" t="str">
        <f t="shared" si="4"/>
        <v/>
      </c>
    </row>
    <row r="63">
      <c r="C63" s="17">
        <f t="shared" si="1"/>
        <v>58</v>
      </c>
      <c r="D63" s="18">
        <f t="shared" si="3"/>
        <v>47375</v>
      </c>
      <c r="E63" s="19" t="str">
        <f t="shared" si="2"/>
        <v/>
      </c>
      <c r="F63" s="20"/>
      <c r="G63" s="21" t="str">
        <f t="shared" si="4"/>
        <v/>
      </c>
    </row>
    <row r="64">
      <c r="C64" s="17">
        <f t="shared" si="1"/>
        <v>59</v>
      </c>
      <c r="D64" s="18">
        <f t="shared" si="3"/>
        <v>47405</v>
      </c>
      <c r="E64" s="19" t="str">
        <f t="shared" si="2"/>
        <v/>
      </c>
      <c r="F64" s="20"/>
      <c r="G64" s="21" t="str">
        <f t="shared" si="4"/>
        <v/>
      </c>
    </row>
    <row r="65">
      <c r="C65" s="17">
        <f t="shared" si="1"/>
        <v>60</v>
      </c>
      <c r="D65" s="18">
        <f t="shared" si="3"/>
        <v>47436</v>
      </c>
      <c r="E65" s="19" t="str">
        <f t="shared" si="2"/>
        <v/>
      </c>
      <c r="F65" s="20"/>
      <c r="G65" s="22">
        <f t="shared" si="4"/>
        <v>3142.375904</v>
      </c>
    </row>
    <row r="66">
      <c r="G66" s="23">
        <f>IF(MOD(C66, 3), "", ($H$3*C66 + sum($F$6:F65))*$B$3)</f>
        <v>0</v>
      </c>
    </row>
    <row r="67">
      <c r="G67" s="14"/>
    </row>
    <row r="68">
      <c r="G68" s="14"/>
    </row>
    <row r="69">
      <c r="G69" s="14"/>
    </row>
    <row r="70">
      <c r="A70" s="24"/>
      <c r="G70" s="14"/>
    </row>
    <row r="71">
      <c r="A71" s="24"/>
      <c r="G71" s="14"/>
    </row>
    <row r="72">
      <c r="A72" s="24"/>
      <c r="G72" s="14"/>
    </row>
    <row r="73">
      <c r="A73" s="24"/>
      <c r="G73" s="14"/>
    </row>
    <row r="74">
      <c r="A74" s="24"/>
      <c r="G74" s="14"/>
    </row>
    <row r="75">
      <c r="A75" s="24"/>
      <c r="G75" s="1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</sheetData>
  <drawing r:id="rId1"/>
</worksheet>
</file>