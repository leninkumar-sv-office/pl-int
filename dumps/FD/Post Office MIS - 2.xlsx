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</sheets>
  <definedNames/>
  <calcPr/>
</workbook>
</file>

<file path=xl/sharedStrings.xml><?xml version="1.0" encoding="utf-8"?>
<sst xmlns="http://schemas.openxmlformats.org/spreadsheetml/2006/main" count="19" uniqueCount="17">
  <si>
    <t>Start Date</t>
  </si>
  <si>
    <t>Latest Amount</t>
  </si>
  <si>
    <t>Maturity in Years</t>
  </si>
  <si>
    <t>Bank</t>
  </si>
  <si>
    <t>Post Office</t>
  </si>
  <si>
    <t>End Date</t>
  </si>
  <si>
    <t>Interest Earned</t>
  </si>
  <si>
    <t>Interest Payout</t>
  </si>
  <si>
    <t>Monthly</t>
  </si>
  <si>
    <t>Frequency</t>
  </si>
  <si>
    <t>Interest Rate</t>
  </si>
  <si>
    <t>Maturity Amount</t>
  </si>
  <si>
    <t>SIP</t>
  </si>
  <si>
    <t>#</t>
  </si>
  <si>
    <t>Date</t>
  </si>
  <si>
    <t>Amount Invested</t>
  </si>
  <si>
    <t>Interest to be Earned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</si>
</sst>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[$₹]#,##0.00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FFFFFF"/>
      <name val="Arial"/>
      <scheme val="minor"/>
    </font>
    <font>
      <color rgb="FF000000"/>
      <name val="Arial"/>
    </font>
    <font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164" xfId="0" applyAlignment="1" applyBorder="1" applyFont="1" applyNumberFormat="1">
      <alignment readingOrder="0" vertical="top"/>
    </xf>
    <xf borderId="1" fillId="3" fontId="1" numFmtId="0" xfId="0" applyAlignment="1" applyBorder="1" applyFill="1" applyFont="1">
      <alignment readingOrder="0"/>
    </xf>
    <xf borderId="1" fillId="0" fontId="3" numFmtId="165" xfId="0" applyAlignment="1" applyBorder="1" applyFont="1" applyNumberFormat="1">
      <alignment horizontal="right"/>
    </xf>
    <xf borderId="1" fillId="0" fontId="3" numFmtId="0" xfId="0" applyAlignment="1" applyBorder="1" applyFont="1">
      <alignment horizontal="right" readingOrder="0"/>
    </xf>
    <xf borderId="1" fillId="0" fontId="3" numFmtId="164" xfId="0" applyBorder="1" applyFont="1" applyNumberFormat="1"/>
    <xf borderId="1" fillId="4" fontId="4" numFmtId="0" xfId="0" applyAlignment="1" applyBorder="1" applyFill="1" applyFont="1">
      <alignment vertical="bottom"/>
    </xf>
    <xf borderId="2" fillId="0" fontId="5" numFmtId="165" xfId="0" applyAlignment="1" applyBorder="1" applyFont="1" applyNumberFormat="1">
      <alignment horizontal="right" vertical="bottom"/>
    </xf>
    <xf borderId="1" fillId="0" fontId="3" numFmtId="10" xfId="0" applyAlignment="1" applyBorder="1" applyFont="1" applyNumberFormat="1">
      <alignment readingOrder="0"/>
    </xf>
    <xf borderId="3" fillId="3" fontId="4" numFmtId="0" xfId="0" applyAlignment="1" applyBorder="1" applyFont="1">
      <alignment vertical="bottom"/>
    </xf>
    <xf borderId="4" fillId="0" fontId="5" numFmtId="165" xfId="0" applyAlignment="1" applyBorder="1" applyFont="1" applyNumberFormat="1">
      <alignment horizontal="right" vertical="bottom"/>
    </xf>
    <xf borderId="1" fillId="0" fontId="3" numFmtId="165" xfId="0" applyAlignment="1" applyBorder="1" applyFont="1" applyNumberFormat="1">
      <alignment horizontal="right" readingOrder="0"/>
    </xf>
    <xf borderId="0" fillId="0" fontId="6" numFmtId="0" xfId="0" applyFont="1"/>
    <xf borderId="1" fillId="2" fontId="4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1" fillId="0" fontId="5" numFmtId="0" xfId="0" applyAlignment="1" applyBorder="1" applyFont="1">
      <alignment horizontal="right" vertical="bottom"/>
    </xf>
    <xf borderId="1" fillId="0" fontId="3" numFmtId="165" xfId="0" applyBorder="1" applyFont="1" applyNumberFormat="1"/>
    <xf borderId="1" fillId="0" fontId="7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1" fillId="0" fontId="7" numFmtId="165" xfId="0" applyAlignment="1" applyBorder="1" applyFont="1" applyNumberFormat="1">
      <alignment vertical="bottom"/>
    </xf>
    <xf borderId="0" fillId="0" fontId="8" numFmtId="165" xfId="0" applyAlignment="1" applyFont="1" applyNumberFormat="1">
      <alignment vertical="bottom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/>
  <cols>
    <col customWidth="1" min="2" max="2" width="14.5"/>
    <col customWidth="1" min="4" max="4" width="14.63"/>
    <col customWidth="1" min="5" max="5" width="14.5"/>
    <col customWidth="1" min="6" max="7" width="13.13"/>
  </cols>
  <sheetData>
    <row r="1">
      <c r="A1" s="1" t="s">
        <v>0</v>
      </c>
      <c r="B1" s="2">
        <v>45395.0</v>
      </c>
      <c r="D1" s="3" t="s">
        <v>1</v>
      </c>
      <c r="E1" s="4">
        <f>sum(E6:E66)</f>
        <v>3600000</v>
      </c>
      <c r="G1" s="1" t="s">
        <v>2</v>
      </c>
      <c r="H1" s="5">
        <v>5.0</v>
      </c>
      <c r="J1" s="1" t="s">
        <v>3</v>
      </c>
      <c r="K1" s="5" t="s">
        <v>4</v>
      </c>
    </row>
    <row r="2">
      <c r="A2" s="1" t="s">
        <v>5</v>
      </c>
      <c r="B2" s="6">
        <f>EDATE(B1,H1*12-1)</f>
        <v>47190</v>
      </c>
      <c r="D2" s="7" t="s">
        <v>6</v>
      </c>
      <c r="E2" s="8">
        <f>sum(F6:F18)</f>
        <v>29596.8</v>
      </c>
      <c r="G2" s="1" t="s">
        <v>7</v>
      </c>
      <c r="H2" s="5" t="s">
        <v>8</v>
      </c>
      <c r="J2" s="1" t="s">
        <v>9</v>
      </c>
      <c r="K2" s="5" t="s">
        <v>8</v>
      </c>
    </row>
    <row r="3">
      <c r="A3" s="1" t="s">
        <v>10</v>
      </c>
      <c r="B3" s="9">
        <v>0.073992</v>
      </c>
      <c r="D3" s="10" t="s">
        <v>11</v>
      </c>
      <c r="E3" s="11">
        <f>$H$3</f>
        <v>400000</v>
      </c>
      <c r="G3" s="1" t="s">
        <v>12</v>
      </c>
      <c r="H3" s="12">
        <v>400000.0</v>
      </c>
    </row>
    <row r="4">
      <c r="G4" s="13"/>
    </row>
    <row r="5">
      <c r="C5" s="14" t="s">
        <v>13</v>
      </c>
      <c r="D5" s="1" t="s">
        <v>14</v>
      </c>
      <c r="E5" s="1" t="s">
        <v>15</v>
      </c>
      <c r="F5" s="14" t="s">
        <v>6</v>
      </c>
      <c r="G5" s="15" t="s">
        <v>16</v>
      </c>
    </row>
    <row r="6">
      <c r="C6" s="16">
        <f t="shared" ref="C6:C65" si="1">row()-5</f>
        <v>1</v>
      </c>
      <c r="D6" s="6">
        <f>B1</f>
        <v>45395</v>
      </c>
      <c r="E6" s="17">
        <f>$H$3</f>
        <v>400000</v>
      </c>
      <c r="F6" s="18" t="str">
        <f>IF(D6-NOW() &lt;=0, G6, "")</f>
        <v/>
      </c>
      <c r="G6" s="19" t="str">
        <f t="shared" ref="G6:G7" si="2">IF(MOD(C6, 3), "", ($H$3*1 + sum($G$5:G5))*$B$3)</f>
        <v/>
      </c>
    </row>
    <row r="7">
      <c r="C7" s="16">
        <f t="shared" si="1"/>
        <v>2</v>
      </c>
      <c r="D7" s="6">
        <f t="shared" ref="D7:D65" si="3">EDATE(D6, 1)</f>
        <v>45425</v>
      </c>
      <c r="E7" s="17"/>
      <c r="F7" s="20">
        <f>IF(D7-NOW() &lt;=0, $H$3*$B$3/12, "")</f>
        <v>2466.4</v>
      </c>
      <c r="G7" s="19" t="str">
        <f t="shared" si="2"/>
        <v/>
      </c>
    </row>
    <row r="8">
      <c r="C8" s="16">
        <f t="shared" si="1"/>
        <v>3</v>
      </c>
      <c r="D8" s="6">
        <f t="shared" si="3"/>
        <v>45456</v>
      </c>
      <c r="E8" s="17"/>
      <c r="F8" s="20">
        <f t="shared" ref="F8:F65" si="4">IF(D8-NOW() &lt;=0, $H$3*0.006166, "")</f>
        <v>2466.4</v>
      </c>
      <c r="G8" s="21">
        <f t="shared" ref="G8:G65" si="5">IF(MOD(C8, 3), "", ($H$3*1)*$B$3)</f>
        <v>29596.8</v>
      </c>
    </row>
    <row r="9">
      <c r="C9" s="16">
        <f t="shared" si="1"/>
        <v>4</v>
      </c>
      <c r="D9" s="6">
        <f t="shared" si="3"/>
        <v>45486</v>
      </c>
      <c r="E9" s="17"/>
      <c r="F9" s="20">
        <f t="shared" si="4"/>
        <v>2466.4</v>
      </c>
      <c r="G9" s="19" t="str">
        <f t="shared" si="5"/>
        <v/>
      </c>
    </row>
    <row r="10">
      <c r="C10" s="16">
        <f t="shared" si="1"/>
        <v>5</v>
      </c>
      <c r="D10" s="6">
        <f t="shared" si="3"/>
        <v>45517</v>
      </c>
      <c r="E10" s="17"/>
      <c r="F10" s="20">
        <f t="shared" si="4"/>
        <v>2466.4</v>
      </c>
      <c r="G10" s="19" t="str">
        <f t="shared" si="5"/>
        <v/>
      </c>
    </row>
    <row r="11">
      <c r="C11" s="16">
        <f t="shared" si="1"/>
        <v>6</v>
      </c>
      <c r="D11" s="6">
        <f t="shared" si="3"/>
        <v>45548</v>
      </c>
      <c r="E11" s="17"/>
      <c r="F11" s="20">
        <f t="shared" si="4"/>
        <v>2466.4</v>
      </c>
      <c r="G11" s="21">
        <f t="shared" si="5"/>
        <v>29596.8</v>
      </c>
    </row>
    <row r="12">
      <c r="C12" s="16">
        <f t="shared" si="1"/>
        <v>7</v>
      </c>
      <c r="D12" s="6">
        <f t="shared" si="3"/>
        <v>45578</v>
      </c>
      <c r="E12" s="17"/>
      <c r="F12" s="20">
        <f t="shared" si="4"/>
        <v>2466.4</v>
      </c>
      <c r="G12" s="19" t="str">
        <f t="shared" si="5"/>
        <v/>
      </c>
    </row>
    <row r="13">
      <c r="C13" s="16">
        <f t="shared" si="1"/>
        <v>8</v>
      </c>
      <c r="D13" s="6">
        <f t="shared" si="3"/>
        <v>45609</v>
      </c>
      <c r="E13" s="17"/>
      <c r="F13" s="20">
        <f t="shared" si="4"/>
        <v>2466.4</v>
      </c>
      <c r="G13" s="19" t="str">
        <f t="shared" si="5"/>
        <v/>
      </c>
    </row>
    <row r="14">
      <c r="C14" s="16">
        <f t="shared" si="1"/>
        <v>9</v>
      </c>
      <c r="D14" s="6">
        <f t="shared" si="3"/>
        <v>45639</v>
      </c>
      <c r="E14" s="17"/>
      <c r="F14" s="20">
        <f t="shared" si="4"/>
        <v>2466.4</v>
      </c>
      <c r="G14" s="21">
        <f t="shared" si="5"/>
        <v>29596.8</v>
      </c>
    </row>
    <row r="15">
      <c r="C15" s="16">
        <f t="shared" si="1"/>
        <v>10</v>
      </c>
      <c r="D15" s="6">
        <f t="shared" si="3"/>
        <v>45670</v>
      </c>
      <c r="E15" s="17"/>
      <c r="F15" s="20">
        <f t="shared" si="4"/>
        <v>2466.4</v>
      </c>
      <c r="G15" s="19" t="str">
        <f t="shared" si="5"/>
        <v/>
      </c>
    </row>
    <row r="16">
      <c r="C16" s="16">
        <f t="shared" si="1"/>
        <v>11</v>
      </c>
      <c r="D16" s="6">
        <f t="shared" si="3"/>
        <v>45701</v>
      </c>
      <c r="E16" s="17"/>
      <c r="F16" s="20">
        <f t="shared" si="4"/>
        <v>2466.4</v>
      </c>
      <c r="G16" s="19" t="str">
        <f t="shared" si="5"/>
        <v/>
      </c>
    </row>
    <row r="17">
      <c r="C17" s="16">
        <f t="shared" si="1"/>
        <v>12</v>
      </c>
      <c r="D17" s="6">
        <f t="shared" si="3"/>
        <v>45729</v>
      </c>
      <c r="E17" s="17"/>
      <c r="F17" s="20">
        <f t="shared" si="4"/>
        <v>2466.4</v>
      </c>
      <c r="G17" s="21">
        <f t="shared" si="5"/>
        <v>29596.8</v>
      </c>
    </row>
    <row r="18">
      <c r="C18" s="16">
        <f t="shared" si="1"/>
        <v>13</v>
      </c>
      <c r="D18" s="6">
        <f t="shared" si="3"/>
        <v>45760</v>
      </c>
      <c r="E18" s="17"/>
      <c r="F18" s="20">
        <f t="shared" si="4"/>
        <v>2466.4</v>
      </c>
      <c r="G18" s="19" t="str">
        <f t="shared" si="5"/>
        <v/>
      </c>
    </row>
    <row r="19">
      <c r="C19" s="16">
        <f t="shared" si="1"/>
        <v>14</v>
      </c>
      <c r="D19" s="6">
        <f t="shared" si="3"/>
        <v>45790</v>
      </c>
      <c r="E19" s="17"/>
      <c r="F19" s="20">
        <f t="shared" si="4"/>
        <v>2466.4</v>
      </c>
      <c r="G19" s="19" t="str">
        <f t="shared" si="5"/>
        <v/>
      </c>
    </row>
    <row r="20">
      <c r="C20" s="16">
        <f t="shared" si="1"/>
        <v>15</v>
      </c>
      <c r="D20" s="6">
        <f t="shared" si="3"/>
        <v>45821</v>
      </c>
      <c r="E20" s="17"/>
      <c r="F20" s="20">
        <f t="shared" si="4"/>
        <v>2466.4</v>
      </c>
      <c r="G20" s="21">
        <f t="shared" si="5"/>
        <v>29596.8</v>
      </c>
    </row>
    <row r="21">
      <c r="C21" s="16">
        <f t="shared" si="1"/>
        <v>16</v>
      </c>
      <c r="D21" s="6">
        <f t="shared" si="3"/>
        <v>45851</v>
      </c>
      <c r="E21" s="17">
        <f t="shared" ref="E21:E65" si="6">IF((D21-NOW()) &lt;= 0, $H$3, "")</f>
        <v>400000</v>
      </c>
      <c r="F21" s="20">
        <f t="shared" si="4"/>
        <v>2466.4</v>
      </c>
      <c r="G21" s="19" t="str">
        <f t="shared" si="5"/>
        <v/>
      </c>
    </row>
    <row r="22">
      <c r="C22" s="16">
        <f t="shared" si="1"/>
        <v>17</v>
      </c>
      <c r="D22" s="6">
        <f t="shared" si="3"/>
        <v>45882</v>
      </c>
      <c r="E22" s="17">
        <f t="shared" si="6"/>
        <v>400000</v>
      </c>
      <c r="F22" s="20">
        <f t="shared" si="4"/>
        <v>2466.4</v>
      </c>
      <c r="G22" s="19" t="str">
        <f t="shared" si="5"/>
        <v/>
      </c>
    </row>
    <row r="23">
      <c r="C23" s="16">
        <f t="shared" si="1"/>
        <v>18</v>
      </c>
      <c r="D23" s="6">
        <f t="shared" si="3"/>
        <v>45913</v>
      </c>
      <c r="E23" s="17">
        <f t="shared" si="6"/>
        <v>400000</v>
      </c>
      <c r="F23" s="20">
        <f t="shared" si="4"/>
        <v>2466.4</v>
      </c>
      <c r="G23" s="21">
        <f t="shared" si="5"/>
        <v>29596.8</v>
      </c>
    </row>
    <row r="24">
      <c r="C24" s="16">
        <f t="shared" si="1"/>
        <v>19</v>
      </c>
      <c r="D24" s="6">
        <f t="shared" si="3"/>
        <v>45943</v>
      </c>
      <c r="E24" s="17">
        <f t="shared" si="6"/>
        <v>400000</v>
      </c>
      <c r="F24" s="20">
        <f t="shared" si="4"/>
        <v>2466.4</v>
      </c>
      <c r="G24" s="19" t="str">
        <f t="shared" si="5"/>
        <v/>
      </c>
    </row>
    <row r="25">
      <c r="C25" s="16">
        <f t="shared" si="1"/>
        <v>20</v>
      </c>
      <c r="D25" s="6">
        <f t="shared" si="3"/>
        <v>45974</v>
      </c>
      <c r="E25" s="17">
        <f t="shared" si="6"/>
        <v>400000</v>
      </c>
      <c r="F25" s="20">
        <f t="shared" si="4"/>
        <v>2466.4</v>
      </c>
      <c r="G25" s="19" t="str">
        <f t="shared" si="5"/>
        <v/>
      </c>
    </row>
    <row r="26">
      <c r="C26" s="16">
        <f t="shared" si="1"/>
        <v>21</v>
      </c>
      <c r="D26" s="6">
        <f t="shared" si="3"/>
        <v>46004</v>
      </c>
      <c r="E26" s="17">
        <f t="shared" si="6"/>
        <v>400000</v>
      </c>
      <c r="F26" s="20">
        <f t="shared" si="4"/>
        <v>2466.4</v>
      </c>
      <c r="G26" s="21">
        <f t="shared" si="5"/>
        <v>29596.8</v>
      </c>
    </row>
    <row r="27">
      <c r="C27" s="16">
        <f t="shared" si="1"/>
        <v>22</v>
      </c>
      <c r="D27" s="6">
        <f t="shared" si="3"/>
        <v>46035</v>
      </c>
      <c r="E27" s="17">
        <f t="shared" si="6"/>
        <v>400000</v>
      </c>
      <c r="F27" s="20">
        <f t="shared" si="4"/>
        <v>2466.4</v>
      </c>
      <c r="G27" s="19" t="str">
        <f t="shared" si="5"/>
        <v/>
      </c>
    </row>
    <row r="28">
      <c r="C28" s="16">
        <f t="shared" si="1"/>
        <v>23</v>
      </c>
      <c r="D28" s="6">
        <f t="shared" si="3"/>
        <v>46066</v>
      </c>
      <c r="E28" s="17">
        <f t="shared" si="6"/>
        <v>400000</v>
      </c>
      <c r="F28" s="20">
        <f t="shared" si="4"/>
        <v>2466.4</v>
      </c>
      <c r="G28" s="19" t="str">
        <f t="shared" si="5"/>
        <v/>
      </c>
    </row>
    <row r="29">
      <c r="C29" s="16">
        <f t="shared" si="1"/>
        <v>24</v>
      </c>
      <c r="D29" s="6">
        <f t="shared" si="3"/>
        <v>46094</v>
      </c>
      <c r="E29" s="17" t="str">
        <f t="shared" si="6"/>
        <v/>
      </c>
      <c r="F29" s="18" t="str">
        <f t="shared" si="4"/>
        <v/>
      </c>
      <c r="G29" s="21">
        <f t="shared" si="5"/>
        <v>29596.8</v>
      </c>
    </row>
    <row r="30">
      <c r="C30" s="16">
        <f t="shared" si="1"/>
        <v>25</v>
      </c>
      <c r="D30" s="6">
        <f t="shared" si="3"/>
        <v>46125</v>
      </c>
      <c r="E30" s="17" t="str">
        <f t="shared" si="6"/>
        <v/>
      </c>
      <c r="F30" s="18" t="str">
        <f t="shared" si="4"/>
        <v/>
      </c>
      <c r="G30" s="19" t="str">
        <f t="shared" si="5"/>
        <v/>
      </c>
    </row>
    <row r="31">
      <c r="C31" s="16">
        <f t="shared" si="1"/>
        <v>26</v>
      </c>
      <c r="D31" s="6">
        <f t="shared" si="3"/>
        <v>46155</v>
      </c>
      <c r="E31" s="17" t="str">
        <f t="shared" si="6"/>
        <v/>
      </c>
      <c r="F31" s="18" t="str">
        <f t="shared" si="4"/>
        <v/>
      </c>
      <c r="G31" s="19" t="str">
        <f t="shared" si="5"/>
        <v/>
      </c>
    </row>
    <row r="32">
      <c r="C32" s="16">
        <f t="shared" si="1"/>
        <v>27</v>
      </c>
      <c r="D32" s="6">
        <f t="shared" si="3"/>
        <v>46186</v>
      </c>
      <c r="E32" s="17" t="str">
        <f t="shared" si="6"/>
        <v/>
      </c>
      <c r="F32" s="18" t="str">
        <f t="shared" si="4"/>
        <v/>
      </c>
      <c r="G32" s="21">
        <f t="shared" si="5"/>
        <v>29596.8</v>
      </c>
    </row>
    <row r="33">
      <c r="C33" s="16">
        <f t="shared" si="1"/>
        <v>28</v>
      </c>
      <c r="D33" s="6">
        <f t="shared" si="3"/>
        <v>46216</v>
      </c>
      <c r="E33" s="17" t="str">
        <f t="shared" si="6"/>
        <v/>
      </c>
      <c r="F33" s="18" t="str">
        <f t="shared" si="4"/>
        <v/>
      </c>
      <c r="G33" s="19" t="str">
        <f t="shared" si="5"/>
        <v/>
      </c>
    </row>
    <row r="34">
      <c r="C34" s="16">
        <f t="shared" si="1"/>
        <v>29</v>
      </c>
      <c r="D34" s="6">
        <f t="shared" si="3"/>
        <v>46247</v>
      </c>
      <c r="E34" s="17" t="str">
        <f t="shared" si="6"/>
        <v/>
      </c>
      <c r="F34" s="18" t="str">
        <f t="shared" si="4"/>
        <v/>
      </c>
      <c r="G34" s="19" t="str">
        <f t="shared" si="5"/>
        <v/>
      </c>
    </row>
    <row r="35">
      <c r="C35" s="16">
        <f t="shared" si="1"/>
        <v>30</v>
      </c>
      <c r="D35" s="6">
        <f t="shared" si="3"/>
        <v>46278</v>
      </c>
      <c r="E35" s="17" t="str">
        <f t="shared" si="6"/>
        <v/>
      </c>
      <c r="F35" s="18" t="str">
        <f t="shared" si="4"/>
        <v/>
      </c>
      <c r="G35" s="21">
        <f t="shared" si="5"/>
        <v>29596.8</v>
      </c>
    </row>
    <row r="36">
      <c r="C36" s="16">
        <f t="shared" si="1"/>
        <v>31</v>
      </c>
      <c r="D36" s="6">
        <f t="shared" si="3"/>
        <v>46308</v>
      </c>
      <c r="E36" s="17" t="str">
        <f t="shared" si="6"/>
        <v/>
      </c>
      <c r="F36" s="18" t="str">
        <f t="shared" si="4"/>
        <v/>
      </c>
      <c r="G36" s="19" t="str">
        <f t="shared" si="5"/>
        <v/>
      </c>
    </row>
    <row r="37">
      <c r="C37" s="16">
        <f t="shared" si="1"/>
        <v>32</v>
      </c>
      <c r="D37" s="6">
        <f t="shared" si="3"/>
        <v>46339</v>
      </c>
      <c r="E37" s="17" t="str">
        <f t="shared" si="6"/>
        <v/>
      </c>
      <c r="F37" s="18" t="str">
        <f t="shared" si="4"/>
        <v/>
      </c>
      <c r="G37" s="19" t="str">
        <f t="shared" si="5"/>
        <v/>
      </c>
    </row>
    <row r="38">
      <c r="C38" s="16">
        <f t="shared" si="1"/>
        <v>33</v>
      </c>
      <c r="D38" s="6">
        <f t="shared" si="3"/>
        <v>46369</v>
      </c>
      <c r="E38" s="17" t="str">
        <f t="shared" si="6"/>
        <v/>
      </c>
      <c r="F38" s="18" t="str">
        <f t="shared" si="4"/>
        <v/>
      </c>
      <c r="G38" s="21">
        <f t="shared" si="5"/>
        <v>29596.8</v>
      </c>
    </row>
    <row r="39">
      <c r="C39" s="16">
        <f t="shared" si="1"/>
        <v>34</v>
      </c>
      <c r="D39" s="6">
        <f t="shared" si="3"/>
        <v>46400</v>
      </c>
      <c r="E39" s="17" t="str">
        <f t="shared" si="6"/>
        <v/>
      </c>
      <c r="F39" s="18" t="str">
        <f t="shared" si="4"/>
        <v/>
      </c>
      <c r="G39" s="19" t="str">
        <f t="shared" si="5"/>
        <v/>
      </c>
    </row>
    <row r="40">
      <c r="C40" s="16">
        <f t="shared" si="1"/>
        <v>35</v>
      </c>
      <c r="D40" s="6">
        <f t="shared" si="3"/>
        <v>46431</v>
      </c>
      <c r="E40" s="17" t="str">
        <f t="shared" si="6"/>
        <v/>
      </c>
      <c r="F40" s="18" t="str">
        <f t="shared" si="4"/>
        <v/>
      </c>
      <c r="G40" s="19" t="str">
        <f t="shared" si="5"/>
        <v/>
      </c>
    </row>
    <row r="41">
      <c r="C41" s="16">
        <f t="shared" si="1"/>
        <v>36</v>
      </c>
      <c r="D41" s="6">
        <f t="shared" si="3"/>
        <v>46459</v>
      </c>
      <c r="E41" s="17" t="str">
        <f t="shared" si="6"/>
        <v/>
      </c>
      <c r="F41" s="18" t="str">
        <f t="shared" si="4"/>
        <v/>
      </c>
      <c r="G41" s="21">
        <f t="shared" si="5"/>
        <v>29596.8</v>
      </c>
    </row>
    <row r="42">
      <c r="C42" s="16">
        <f t="shared" si="1"/>
        <v>37</v>
      </c>
      <c r="D42" s="6">
        <f t="shared" si="3"/>
        <v>46490</v>
      </c>
      <c r="E42" s="17" t="str">
        <f t="shared" si="6"/>
        <v/>
      </c>
      <c r="F42" s="18" t="str">
        <f t="shared" si="4"/>
        <v/>
      </c>
      <c r="G42" s="19" t="str">
        <f t="shared" si="5"/>
        <v/>
      </c>
    </row>
    <row r="43">
      <c r="C43" s="16">
        <f t="shared" si="1"/>
        <v>38</v>
      </c>
      <c r="D43" s="6">
        <f t="shared" si="3"/>
        <v>46520</v>
      </c>
      <c r="E43" s="17" t="str">
        <f t="shared" si="6"/>
        <v/>
      </c>
      <c r="F43" s="18" t="str">
        <f t="shared" si="4"/>
        <v/>
      </c>
      <c r="G43" s="19" t="str">
        <f t="shared" si="5"/>
        <v/>
      </c>
    </row>
    <row r="44">
      <c r="C44" s="16">
        <f t="shared" si="1"/>
        <v>39</v>
      </c>
      <c r="D44" s="6">
        <f t="shared" si="3"/>
        <v>46551</v>
      </c>
      <c r="E44" s="17" t="str">
        <f t="shared" si="6"/>
        <v/>
      </c>
      <c r="F44" s="18" t="str">
        <f t="shared" si="4"/>
        <v/>
      </c>
      <c r="G44" s="21">
        <f t="shared" si="5"/>
        <v>29596.8</v>
      </c>
    </row>
    <row r="45">
      <c r="C45" s="16">
        <f t="shared" si="1"/>
        <v>40</v>
      </c>
      <c r="D45" s="6">
        <f t="shared" si="3"/>
        <v>46581</v>
      </c>
      <c r="E45" s="17" t="str">
        <f t="shared" si="6"/>
        <v/>
      </c>
      <c r="F45" s="18" t="str">
        <f t="shared" si="4"/>
        <v/>
      </c>
      <c r="G45" s="19" t="str">
        <f t="shared" si="5"/>
        <v/>
      </c>
    </row>
    <row r="46">
      <c r="C46" s="16">
        <f t="shared" si="1"/>
        <v>41</v>
      </c>
      <c r="D46" s="6">
        <f t="shared" si="3"/>
        <v>46612</v>
      </c>
      <c r="E46" s="17" t="str">
        <f t="shared" si="6"/>
        <v/>
      </c>
      <c r="F46" s="18" t="str">
        <f t="shared" si="4"/>
        <v/>
      </c>
      <c r="G46" s="19" t="str">
        <f t="shared" si="5"/>
        <v/>
      </c>
    </row>
    <row r="47">
      <c r="C47" s="16">
        <f t="shared" si="1"/>
        <v>42</v>
      </c>
      <c r="D47" s="6">
        <f t="shared" si="3"/>
        <v>46643</v>
      </c>
      <c r="E47" s="17" t="str">
        <f t="shared" si="6"/>
        <v/>
      </c>
      <c r="F47" s="18" t="str">
        <f t="shared" si="4"/>
        <v/>
      </c>
      <c r="G47" s="21">
        <f t="shared" si="5"/>
        <v>29596.8</v>
      </c>
    </row>
    <row r="48">
      <c r="C48" s="16">
        <f t="shared" si="1"/>
        <v>43</v>
      </c>
      <c r="D48" s="6">
        <f t="shared" si="3"/>
        <v>46673</v>
      </c>
      <c r="E48" s="17" t="str">
        <f t="shared" si="6"/>
        <v/>
      </c>
      <c r="F48" s="18" t="str">
        <f t="shared" si="4"/>
        <v/>
      </c>
      <c r="G48" s="19" t="str">
        <f t="shared" si="5"/>
        <v/>
      </c>
    </row>
    <row r="49">
      <c r="C49" s="16">
        <f t="shared" si="1"/>
        <v>44</v>
      </c>
      <c r="D49" s="6">
        <f t="shared" si="3"/>
        <v>46704</v>
      </c>
      <c r="E49" s="17" t="str">
        <f t="shared" si="6"/>
        <v/>
      </c>
      <c r="F49" s="18" t="str">
        <f t="shared" si="4"/>
        <v/>
      </c>
      <c r="G49" s="19" t="str">
        <f t="shared" si="5"/>
        <v/>
      </c>
    </row>
    <row r="50">
      <c r="C50" s="16">
        <f t="shared" si="1"/>
        <v>45</v>
      </c>
      <c r="D50" s="6">
        <f t="shared" si="3"/>
        <v>46734</v>
      </c>
      <c r="E50" s="17" t="str">
        <f t="shared" si="6"/>
        <v/>
      </c>
      <c r="F50" s="18" t="str">
        <f t="shared" si="4"/>
        <v/>
      </c>
      <c r="G50" s="21">
        <f t="shared" si="5"/>
        <v>29596.8</v>
      </c>
    </row>
    <row r="51">
      <c r="C51" s="16">
        <f t="shared" si="1"/>
        <v>46</v>
      </c>
      <c r="D51" s="6">
        <f t="shared" si="3"/>
        <v>46765</v>
      </c>
      <c r="E51" s="17" t="str">
        <f t="shared" si="6"/>
        <v/>
      </c>
      <c r="F51" s="18" t="str">
        <f t="shared" si="4"/>
        <v/>
      </c>
      <c r="G51" s="19" t="str">
        <f t="shared" si="5"/>
        <v/>
      </c>
    </row>
    <row r="52">
      <c r="C52" s="16">
        <f t="shared" si="1"/>
        <v>47</v>
      </c>
      <c r="D52" s="6">
        <f t="shared" si="3"/>
        <v>46796</v>
      </c>
      <c r="E52" s="17" t="str">
        <f t="shared" si="6"/>
        <v/>
      </c>
      <c r="F52" s="18" t="str">
        <f t="shared" si="4"/>
        <v/>
      </c>
      <c r="G52" s="19" t="str">
        <f t="shared" si="5"/>
        <v/>
      </c>
    </row>
    <row r="53">
      <c r="C53" s="16">
        <f t="shared" si="1"/>
        <v>48</v>
      </c>
      <c r="D53" s="6">
        <f t="shared" si="3"/>
        <v>46825</v>
      </c>
      <c r="E53" s="17" t="str">
        <f t="shared" si="6"/>
        <v/>
      </c>
      <c r="F53" s="18" t="str">
        <f t="shared" si="4"/>
        <v/>
      </c>
      <c r="G53" s="21">
        <f t="shared" si="5"/>
        <v>29596.8</v>
      </c>
    </row>
    <row r="54">
      <c r="C54" s="16">
        <f t="shared" si="1"/>
        <v>49</v>
      </c>
      <c r="D54" s="6">
        <f t="shared" si="3"/>
        <v>46856</v>
      </c>
      <c r="E54" s="17" t="str">
        <f t="shared" si="6"/>
        <v/>
      </c>
      <c r="F54" s="18" t="str">
        <f t="shared" si="4"/>
        <v/>
      </c>
      <c r="G54" s="19" t="str">
        <f t="shared" si="5"/>
        <v/>
      </c>
    </row>
    <row r="55">
      <c r="C55" s="16">
        <f t="shared" si="1"/>
        <v>50</v>
      </c>
      <c r="D55" s="6">
        <f t="shared" si="3"/>
        <v>46886</v>
      </c>
      <c r="E55" s="17" t="str">
        <f t="shared" si="6"/>
        <v/>
      </c>
      <c r="F55" s="18" t="str">
        <f t="shared" si="4"/>
        <v/>
      </c>
      <c r="G55" s="19" t="str">
        <f t="shared" si="5"/>
        <v/>
      </c>
    </row>
    <row r="56">
      <c r="C56" s="16">
        <f t="shared" si="1"/>
        <v>51</v>
      </c>
      <c r="D56" s="6">
        <f t="shared" si="3"/>
        <v>46917</v>
      </c>
      <c r="E56" s="17" t="str">
        <f t="shared" si="6"/>
        <v/>
      </c>
      <c r="F56" s="18" t="str">
        <f t="shared" si="4"/>
        <v/>
      </c>
      <c r="G56" s="21">
        <f t="shared" si="5"/>
        <v>29596.8</v>
      </c>
    </row>
    <row r="57">
      <c r="C57" s="16">
        <f t="shared" si="1"/>
        <v>52</v>
      </c>
      <c r="D57" s="6">
        <f t="shared" si="3"/>
        <v>46947</v>
      </c>
      <c r="E57" s="17" t="str">
        <f t="shared" si="6"/>
        <v/>
      </c>
      <c r="F57" s="18" t="str">
        <f t="shared" si="4"/>
        <v/>
      </c>
      <c r="G57" s="19" t="str">
        <f t="shared" si="5"/>
        <v/>
      </c>
    </row>
    <row r="58">
      <c r="C58" s="16">
        <f t="shared" si="1"/>
        <v>53</v>
      </c>
      <c r="D58" s="6">
        <f t="shared" si="3"/>
        <v>46978</v>
      </c>
      <c r="E58" s="17" t="str">
        <f t="shared" si="6"/>
        <v/>
      </c>
      <c r="F58" s="18" t="str">
        <f t="shared" si="4"/>
        <v/>
      </c>
      <c r="G58" s="19" t="str">
        <f t="shared" si="5"/>
        <v/>
      </c>
    </row>
    <row r="59">
      <c r="C59" s="16">
        <f t="shared" si="1"/>
        <v>54</v>
      </c>
      <c r="D59" s="6">
        <f t="shared" si="3"/>
        <v>47009</v>
      </c>
      <c r="E59" s="17" t="str">
        <f t="shared" si="6"/>
        <v/>
      </c>
      <c r="F59" s="18" t="str">
        <f t="shared" si="4"/>
        <v/>
      </c>
      <c r="G59" s="21">
        <f t="shared" si="5"/>
        <v>29596.8</v>
      </c>
    </row>
    <row r="60">
      <c r="C60" s="16">
        <f t="shared" si="1"/>
        <v>55</v>
      </c>
      <c r="D60" s="6">
        <f t="shared" si="3"/>
        <v>47039</v>
      </c>
      <c r="E60" s="17" t="str">
        <f t="shared" si="6"/>
        <v/>
      </c>
      <c r="F60" s="18" t="str">
        <f t="shared" si="4"/>
        <v/>
      </c>
      <c r="G60" s="19" t="str">
        <f t="shared" si="5"/>
        <v/>
      </c>
    </row>
    <row r="61">
      <c r="C61" s="16">
        <f t="shared" si="1"/>
        <v>56</v>
      </c>
      <c r="D61" s="6">
        <f t="shared" si="3"/>
        <v>47070</v>
      </c>
      <c r="E61" s="17" t="str">
        <f t="shared" si="6"/>
        <v/>
      </c>
      <c r="F61" s="18" t="str">
        <f t="shared" si="4"/>
        <v/>
      </c>
      <c r="G61" s="19" t="str">
        <f t="shared" si="5"/>
        <v/>
      </c>
    </row>
    <row r="62">
      <c r="C62" s="16">
        <f t="shared" si="1"/>
        <v>57</v>
      </c>
      <c r="D62" s="6">
        <f t="shared" si="3"/>
        <v>47100</v>
      </c>
      <c r="E62" s="17" t="str">
        <f t="shared" si="6"/>
        <v/>
      </c>
      <c r="F62" s="18" t="str">
        <f t="shared" si="4"/>
        <v/>
      </c>
      <c r="G62" s="21">
        <f t="shared" si="5"/>
        <v>29596.8</v>
      </c>
    </row>
    <row r="63">
      <c r="C63" s="16">
        <f t="shared" si="1"/>
        <v>58</v>
      </c>
      <c r="D63" s="6">
        <f t="shared" si="3"/>
        <v>47131</v>
      </c>
      <c r="E63" s="17" t="str">
        <f t="shared" si="6"/>
        <v/>
      </c>
      <c r="F63" s="18" t="str">
        <f t="shared" si="4"/>
        <v/>
      </c>
      <c r="G63" s="19" t="str">
        <f t="shared" si="5"/>
        <v/>
      </c>
    </row>
    <row r="64">
      <c r="C64" s="16">
        <f t="shared" si="1"/>
        <v>59</v>
      </c>
      <c r="D64" s="6">
        <f t="shared" si="3"/>
        <v>47162</v>
      </c>
      <c r="E64" s="17" t="str">
        <f t="shared" si="6"/>
        <v/>
      </c>
      <c r="F64" s="18" t="str">
        <f t="shared" si="4"/>
        <v/>
      </c>
      <c r="G64" s="19" t="str">
        <f t="shared" si="5"/>
        <v/>
      </c>
    </row>
    <row r="65">
      <c r="C65" s="16">
        <f t="shared" si="1"/>
        <v>60</v>
      </c>
      <c r="D65" s="6">
        <f t="shared" si="3"/>
        <v>47190</v>
      </c>
      <c r="E65" s="17" t="str">
        <f t="shared" si="6"/>
        <v/>
      </c>
      <c r="F65" s="18" t="str">
        <f t="shared" si="4"/>
        <v/>
      </c>
      <c r="G65" s="21">
        <f t="shared" si="5"/>
        <v>29596.8</v>
      </c>
    </row>
    <row r="66">
      <c r="G66" s="13"/>
    </row>
    <row r="67">
      <c r="G67" s="13"/>
    </row>
    <row r="68">
      <c r="G68" s="13"/>
    </row>
    <row r="69">
      <c r="G69" s="13"/>
    </row>
    <row r="70">
      <c r="A70" s="22"/>
      <c r="G70" s="13"/>
    </row>
    <row r="71">
      <c r="A71" s="22"/>
      <c r="G71" s="13"/>
    </row>
    <row r="72">
      <c r="A72" s="22"/>
      <c r="G72" s="13"/>
    </row>
    <row r="73">
      <c r="A73" s="22"/>
      <c r="G73" s="13"/>
    </row>
    <row r="74">
      <c r="A74" s="22"/>
      <c r="G74" s="13"/>
    </row>
    <row r="75">
      <c r="A75" s="22"/>
      <c r="G75" s="13"/>
    </row>
    <row r="76">
      <c r="A76" s="22"/>
      <c r="G76" s="13"/>
    </row>
    <row r="77">
      <c r="A77" s="22"/>
      <c r="G77" s="13"/>
    </row>
    <row r="78">
      <c r="A78" s="22"/>
      <c r="G78" s="13"/>
    </row>
    <row r="79">
      <c r="A79" s="22"/>
      <c r="G79" s="13"/>
    </row>
    <row r="80">
      <c r="A80" s="22"/>
      <c r="G80" s="13"/>
    </row>
    <row r="81">
      <c r="A81" s="22"/>
      <c r="G81" s="13"/>
    </row>
    <row r="82">
      <c r="A82" s="22"/>
    </row>
    <row r="83">
      <c r="A83" s="22"/>
    </row>
    <row r="84">
      <c r="A84" s="22"/>
    </row>
    <row r="85">
      <c r="A85" s="22"/>
    </row>
    <row r="86">
      <c r="A86" s="22"/>
    </row>
    <row r="87">
      <c r="A87" s="22"/>
    </row>
    <row r="88">
      <c r="A88" s="22"/>
    </row>
    <row r="89">
      <c r="A89" s="22"/>
    </row>
    <row r="90">
      <c r="A90" s="22"/>
    </row>
    <row r="91">
      <c r="A91" s="22"/>
    </row>
    <row r="92">
      <c r="A92" s="22"/>
    </row>
    <row r="93">
      <c r="A93" s="22"/>
    </row>
    <row r="94">
      <c r="A94" s="22"/>
    </row>
    <row r="95">
      <c r="A95" s="22"/>
    </row>
    <row r="96">
      <c r="A96" s="22"/>
    </row>
    <row r="97">
      <c r="A97" s="22"/>
    </row>
    <row r="98">
      <c r="A98" s="22"/>
    </row>
    <row r="99">
      <c r="A99" s="22"/>
    </row>
    <row r="100">
      <c r="A100" s="22"/>
    </row>
    <row r="101">
      <c r="A101" s="22"/>
    </row>
    <row r="102">
      <c r="A102" s="22"/>
    </row>
    <row r="103">
      <c r="A103" s="22"/>
    </row>
    <row r="104">
      <c r="A104" s="22"/>
    </row>
    <row r="105">
      <c r="A105" s="22"/>
    </row>
    <row r="106">
      <c r="A106" s="22"/>
    </row>
    <row r="107">
      <c r="A107" s="22"/>
    </row>
    <row r="108">
      <c r="A108" s="22"/>
    </row>
    <row r="109">
      <c r="A109" s="22"/>
    </row>
    <row r="110">
      <c r="A110" s="22"/>
    </row>
    <row r="111">
      <c r="A111" s="22"/>
    </row>
    <row r="112">
      <c r="A112" s="22"/>
    </row>
    <row r="113">
      <c r="A113" s="22"/>
    </row>
    <row r="114">
      <c r="A114" s="22"/>
    </row>
    <row r="115">
      <c r="A115" s="22"/>
    </row>
    <row r="116">
      <c r="A116" s="22"/>
    </row>
    <row r="117">
      <c r="A117" s="22"/>
    </row>
    <row r="118">
      <c r="A118" s="22"/>
    </row>
    <row r="119">
      <c r="A119" s="22"/>
    </row>
    <row r="120">
      <c r="A120" s="22"/>
    </row>
    <row r="121">
      <c r="A121" s="22"/>
    </row>
    <row r="122">
      <c r="A122" s="22"/>
    </row>
    <row r="123">
      <c r="A123" s="22"/>
    </row>
    <row r="124">
      <c r="A124" s="22"/>
    </row>
    <row r="125">
      <c r="A125" s="22"/>
    </row>
    <row r="126">
      <c r="A126" s="22"/>
    </row>
    <row r="127">
      <c r="A127" s="22"/>
    </row>
    <row r="128">
      <c r="A128" s="22"/>
    </row>
    <row r="129">
      <c r="A129" s="22"/>
    </row>
    <row r="130">
      <c r="A130" s="22"/>
    </row>
    <row r="131">
      <c r="A131" s="22"/>
    </row>
    <row r="132">
      <c r="A132" s="22"/>
    </row>
    <row r="133">
      <c r="A133" s="22"/>
    </row>
    <row r="134">
      <c r="A134" s="22"/>
    </row>
    <row r="135">
      <c r="A135" s="22"/>
    </row>
    <row r="136">
      <c r="A136" s="22"/>
    </row>
    <row r="137">
      <c r="A137" s="22"/>
    </row>
    <row r="138">
      <c r="A138" s="22"/>
    </row>
    <row r="139">
      <c r="A139" s="22"/>
    </row>
    <row r="140">
      <c r="A140" s="22"/>
    </row>
    <row r="141">
      <c r="A141" s="22"/>
    </row>
    <row r="142">
      <c r="A142" s="22"/>
    </row>
    <row r="143">
      <c r="A143" s="22"/>
    </row>
    <row r="144">
      <c r="A144" s="22"/>
    </row>
    <row r="145">
      <c r="A145" s="22"/>
    </row>
    <row r="146">
      <c r="A146" s="22"/>
    </row>
    <row r="147">
      <c r="A147" s="22"/>
    </row>
    <row r="148">
      <c r="A148" s="22"/>
    </row>
    <row r="149">
      <c r="A149" s="22"/>
    </row>
    <row r="150">
      <c r="A150" s="22"/>
    </row>
    <row r="151">
      <c r="A151" s="22"/>
    </row>
    <row r="152">
      <c r="A152" s="22"/>
    </row>
    <row r="153">
      <c r="A153" s="22"/>
    </row>
    <row r="154">
      <c r="A154" s="22"/>
    </row>
    <row r="155">
      <c r="A155" s="22"/>
    </row>
    <row r="156">
      <c r="A156" s="22"/>
    </row>
    <row r="157">
      <c r="A157" s="22"/>
    </row>
    <row r="158">
      <c r="A158" s="22"/>
    </row>
    <row r="159">
      <c r="A159" s="22"/>
    </row>
    <row r="160">
      <c r="A160" s="22"/>
    </row>
    <row r="161">
      <c r="A161" s="22"/>
    </row>
    <row r="162">
      <c r="A162" s="22"/>
    </row>
    <row r="163">
      <c r="A163" s="22"/>
    </row>
    <row r="164">
      <c r="A164" s="22"/>
    </row>
    <row r="165">
      <c r="A165" s="22"/>
    </row>
    <row r="166">
      <c r="A166" s="22"/>
    </row>
    <row r="167">
      <c r="A167" s="22"/>
    </row>
    <row r="168">
      <c r="A168" s="22"/>
    </row>
    <row r="169">
      <c r="A169" s="22"/>
    </row>
    <row r="170">
      <c r="A170" s="22"/>
    </row>
    <row r="171">
      <c r="A171" s="22"/>
    </row>
    <row r="172">
      <c r="A172" s="22"/>
    </row>
    <row r="173">
      <c r="A173" s="22"/>
    </row>
    <row r="174">
      <c r="A174" s="22"/>
    </row>
    <row r="175">
      <c r="A175" s="22"/>
    </row>
    <row r="176">
      <c r="A176" s="22"/>
    </row>
    <row r="177">
      <c r="A177" s="22"/>
    </row>
    <row r="178">
      <c r="A178" s="22"/>
    </row>
    <row r="179">
      <c r="A179" s="22"/>
    </row>
    <row r="180">
      <c r="A180" s="22"/>
    </row>
    <row r="181">
      <c r="A181" s="22"/>
    </row>
    <row r="182">
      <c r="A182" s="22"/>
    </row>
    <row r="183">
      <c r="A183" s="22"/>
    </row>
    <row r="184">
      <c r="A184" s="22"/>
    </row>
    <row r="185">
      <c r="A185" s="22"/>
    </row>
    <row r="186">
      <c r="A186" s="22"/>
    </row>
    <row r="187">
      <c r="A187" s="22"/>
    </row>
    <row r="188">
      <c r="A188" s="22"/>
    </row>
    <row r="189">
      <c r="A189" s="22"/>
    </row>
    <row r="190">
      <c r="A190" s="22"/>
    </row>
    <row r="191">
      <c r="A191" s="22"/>
    </row>
    <row r="192">
      <c r="A192" s="22"/>
    </row>
    <row r="193">
      <c r="A193" s="22"/>
    </row>
    <row r="194">
      <c r="A194" s="22"/>
    </row>
    <row r="195">
      <c r="A195" s="22"/>
    </row>
    <row r="196">
      <c r="A196" s="22"/>
    </row>
    <row r="197">
      <c r="A197" s="22"/>
    </row>
    <row r="198">
      <c r="A198" s="22"/>
    </row>
    <row r="199">
      <c r="A199" s="22"/>
    </row>
    <row r="200">
      <c r="A200" s="22"/>
    </row>
    <row r="201">
      <c r="A201" s="22"/>
    </row>
    <row r="202">
      <c r="A202" s="22"/>
    </row>
    <row r="203">
      <c r="A203" s="22"/>
    </row>
    <row r="204">
      <c r="A204" s="22"/>
    </row>
    <row r="205">
      <c r="A205" s="22"/>
    </row>
    <row r="206">
      <c r="A206" s="22"/>
    </row>
    <row r="207">
      <c r="A207" s="22"/>
    </row>
    <row r="208">
      <c r="A208" s="22"/>
    </row>
    <row r="209">
      <c r="A209" s="22"/>
    </row>
    <row r="210">
      <c r="A210" s="22"/>
    </row>
    <row r="211">
      <c r="A211" s="22"/>
    </row>
    <row r="212">
      <c r="A212" s="22"/>
    </row>
    <row r="213">
      <c r="A213" s="22"/>
    </row>
    <row r="214">
      <c r="A214" s="22"/>
    </row>
    <row r="215">
      <c r="A215" s="22"/>
    </row>
  </sheetData>
  <drawing r:id="rId1"/>
</worksheet>
</file>