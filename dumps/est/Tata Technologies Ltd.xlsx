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F75CE6A_B1A6_4686_9820_AA749A659CD7_.wvu.FilterData" localSheetId="0" hidden="1">'Trading History'!$A$4:$AO$43</definedName>
    <definedName name="_xlnm._FilterDatabase" localSheetId="0" hidden="1">'Trading History'!$A$4:$AO$43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7" t="n">
        <v>46049</v>
      </c>
      <c r="B5" s="0" t="inlineStr">
        <is>
          <t>NSE</t>
        </is>
      </c>
      <c r="C5" s="0" t="inlineStr">
        <is>
          <t>Buy</t>
        </is>
      </c>
      <c r="D5" s="0" t="n">
        <v>5</v>
      </c>
      <c r="E5" s="0" t="n">
        <v>655.55</v>
      </c>
      <c r="F5" s="0" t="n">
        <v>3301.01</v>
      </c>
      <c r="G5" s="0" t="inlineStr">
        <is>
          <t>~</t>
        </is>
      </c>
      <c r="H5" s="0" t="n">
        <v>3.28</v>
      </c>
      <c r="I5" s="0" t="n">
        <v>19.98</v>
      </c>
    </row>
    <row r="6">
      <c r="A6" s="87" t="n">
        <v>46034</v>
      </c>
      <c r="B6" s="0" t="inlineStr">
        <is>
          <t>NSE</t>
        </is>
      </c>
      <c r="C6" s="0" t="inlineStr">
        <is>
          <t>Buy</t>
        </is>
      </c>
      <c r="D6" s="0" t="n">
        <v>5</v>
      </c>
      <c r="E6" s="0" t="n">
        <v>649.75</v>
      </c>
      <c r="F6" s="0" t="n">
        <v>3271.79</v>
      </c>
      <c r="G6" s="0" t="inlineStr">
        <is>
          <t>~</t>
        </is>
      </c>
      <c r="H6" s="0" t="n">
        <v>3.26</v>
      </c>
      <c r="I6" s="0" t="n">
        <v>19.78</v>
      </c>
    </row>
    <row r="7">
      <c r="A7" s="87" t="n">
        <v>46030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662.6</v>
      </c>
      <c r="F7" s="0" t="n">
        <v>3336.45</v>
      </c>
      <c r="G7" s="0" t="inlineStr">
        <is>
          <t>~</t>
        </is>
      </c>
      <c r="H7" s="0" t="n">
        <v>3.3</v>
      </c>
      <c r="I7" s="0" t="n">
        <v>20.15</v>
      </c>
    </row>
    <row r="8">
      <c r="A8" s="87" t="n">
        <v>46027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655.95</v>
      </c>
      <c r="F8" s="0" t="n">
        <v>3303</v>
      </c>
      <c r="G8" s="0" t="inlineStr">
        <is>
          <t>~</t>
        </is>
      </c>
      <c r="H8" s="0" t="n">
        <v>3.27</v>
      </c>
      <c r="I8" s="0" t="n">
        <v>19.98</v>
      </c>
    </row>
    <row r="9">
      <c r="A9" s="87" t="n">
        <v>46015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663.5</v>
      </c>
      <c r="F9" s="0" t="n">
        <v>3341.01</v>
      </c>
      <c r="G9" s="0" t="inlineStr">
        <is>
          <t>~</t>
        </is>
      </c>
      <c r="H9" s="0" t="n">
        <v>3.3</v>
      </c>
      <c r="I9" s="0" t="n">
        <v>20.21</v>
      </c>
    </row>
    <row r="10">
      <c r="A10" s="87" t="n">
        <v>46009</v>
      </c>
      <c r="B10" s="0" t="inlineStr">
        <is>
          <t>BSE</t>
        </is>
      </c>
      <c r="C10" s="0" t="inlineStr">
        <is>
          <t>Buy</t>
        </is>
      </c>
      <c r="D10" s="0" t="n">
        <v>5</v>
      </c>
      <c r="E10" s="0" t="n">
        <v>637.4</v>
      </c>
      <c r="F10" s="0" t="n">
        <v>3209.64</v>
      </c>
      <c r="G10" s="0" t="inlineStr">
        <is>
          <t>~</t>
        </is>
      </c>
      <c r="H10" s="0" t="n">
        <v>3.2</v>
      </c>
      <c r="I10" s="0" t="n">
        <v>19.44</v>
      </c>
    </row>
    <row r="11">
      <c r="A11" s="87" t="n">
        <v>46007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651.3</v>
      </c>
      <c r="F11" s="0" t="n">
        <v>3279.61</v>
      </c>
      <c r="G11" s="0" t="inlineStr">
        <is>
          <t>~</t>
        </is>
      </c>
      <c r="H11" s="0" t="n">
        <v>3.25</v>
      </c>
      <c r="I11" s="0" t="n">
        <v>19.86</v>
      </c>
    </row>
    <row r="12">
      <c r="A12" s="87" t="n">
        <v>45993</v>
      </c>
      <c r="B12" s="0" t="inlineStr">
        <is>
          <t>BSE</t>
        </is>
      </c>
      <c r="C12" s="0" t="inlineStr">
        <is>
          <t>Buy</t>
        </is>
      </c>
      <c r="D12" s="0" t="n">
        <v>5</v>
      </c>
      <c r="E12" s="0" t="n">
        <v>678.25</v>
      </c>
      <c r="F12" s="0" t="n">
        <v>3415.32</v>
      </c>
      <c r="G12" s="0" t="inlineStr">
        <is>
          <t>~</t>
        </is>
      </c>
      <c r="H12" s="0" t="n">
        <v>3.41</v>
      </c>
      <c r="I12" s="0" t="n">
        <v>20.66</v>
      </c>
    </row>
    <row r="13">
      <c r="A13" s="87" t="n">
        <v>45989</v>
      </c>
      <c r="B13" s="0" t="inlineStr">
        <is>
          <t>NSE</t>
        </is>
      </c>
      <c r="C13" s="0" t="inlineStr">
        <is>
          <t>Buy</t>
        </is>
      </c>
      <c r="D13" s="0" t="n">
        <v>1</v>
      </c>
      <c r="E13" s="0" t="n">
        <v>678.55</v>
      </c>
      <c r="F13" s="0" t="n">
        <v>683.36</v>
      </c>
      <c r="G13" s="0" t="inlineStr">
        <is>
          <t>~</t>
        </is>
      </c>
      <c r="H13" s="0" t="n">
        <v>0.68</v>
      </c>
      <c r="I13" s="0" t="n">
        <v>4.13</v>
      </c>
    </row>
    <row r="14">
      <c r="A14" s="87" t="n">
        <v>45989</v>
      </c>
      <c r="B14" s="0" t="inlineStr">
        <is>
          <t>NSE</t>
        </is>
      </c>
      <c r="C14" s="0" t="inlineStr">
        <is>
          <t>Buy</t>
        </is>
      </c>
      <c r="D14" s="0" t="n">
        <v>4</v>
      </c>
      <c r="E14" s="0" t="n">
        <v>678.5</v>
      </c>
      <c r="F14" s="0" t="n">
        <v>2733.24</v>
      </c>
      <c r="G14" s="0" t="inlineStr">
        <is>
          <t>~</t>
        </is>
      </c>
      <c r="H14" s="0" t="n">
        <v>2.71</v>
      </c>
      <c r="I14" s="0" t="n">
        <v>16.53</v>
      </c>
    </row>
    <row r="15">
      <c r="A15" s="87" t="n">
        <v>45982</v>
      </c>
      <c r="B15" s="0" t="inlineStr">
        <is>
          <t>BSE</t>
        </is>
      </c>
      <c r="C15" s="0" t="inlineStr">
        <is>
          <t>Buy</t>
        </is>
      </c>
      <c r="D15" s="0" t="n">
        <v>5</v>
      </c>
      <c r="E15" s="0" t="n">
        <v>675</v>
      </c>
      <c r="F15" s="0" t="n">
        <v>3398.97</v>
      </c>
      <c r="G15" s="0" t="inlineStr">
        <is>
          <t>~</t>
        </is>
      </c>
      <c r="H15" s="0" t="n">
        <v>3.38</v>
      </c>
      <c r="I15" s="0" t="n">
        <v>20.59</v>
      </c>
    </row>
    <row r="16">
      <c r="A16" s="87" t="n">
        <v>45979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679.65</v>
      </c>
      <c r="F16" s="0" t="n">
        <v>3422.35</v>
      </c>
      <c r="G16" s="0" t="inlineStr">
        <is>
          <t>~</t>
        </is>
      </c>
      <c r="H16" s="0" t="n">
        <v>3.41</v>
      </c>
      <c r="I16" s="0" t="n">
        <v>20.69</v>
      </c>
    </row>
    <row r="17">
      <c r="A17" s="87" t="n">
        <v>45978</v>
      </c>
      <c r="B17" s="0" t="inlineStr">
        <is>
          <t>NSE</t>
        </is>
      </c>
      <c r="C17" s="0" t="inlineStr">
        <is>
          <t>Buy</t>
        </is>
      </c>
      <c r="D17" s="0" t="n">
        <v>4</v>
      </c>
      <c r="E17" s="0" t="n">
        <v>682.25</v>
      </c>
      <c r="F17" s="0" t="n">
        <v>2748.34</v>
      </c>
      <c r="G17" s="0" t="inlineStr">
        <is>
          <t>~</t>
        </is>
      </c>
      <c r="H17" s="0" t="n">
        <v>2.74</v>
      </c>
      <c r="I17" s="0" t="n">
        <v>16.6</v>
      </c>
    </row>
    <row r="18">
      <c r="A18" s="87" t="n">
        <v>45978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682.3</v>
      </c>
      <c r="F18" s="0" t="n">
        <v>687.13</v>
      </c>
      <c r="G18" s="0" t="inlineStr">
        <is>
          <t>~</t>
        </is>
      </c>
      <c r="H18" s="0" t="n">
        <v>0.68</v>
      </c>
      <c r="I18" s="0" t="n">
        <v>4.15</v>
      </c>
    </row>
    <row r="19">
      <c r="A19" s="87" t="n">
        <v>45975</v>
      </c>
      <c r="B19" s="0" t="inlineStr">
        <is>
          <t>NSE</t>
        </is>
      </c>
      <c r="C19" s="0" t="inlineStr">
        <is>
          <t>Buy</t>
        </is>
      </c>
      <c r="D19" s="0" t="n">
        <v>5</v>
      </c>
      <c r="E19" s="0" t="n">
        <v>681.3</v>
      </c>
      <c r="F19" s="0" t="n">
        <v>3430.65</v>
      </c>
      <c r="G19" s="0" t="inlineStr">
        <is>
          <t>~</t>
        </is>
      </c>
      <c r="H19" s="0" t="n">
        <v>3.42</v>
      </c>
      <c r="I19" s="0" t="n">
        <v>20.73</v>
      </c>
    </row>
    <row r="20">
      <c r="A20" s="87" t="n">
        <v>45974</v>
      </c>
      <c r="B20" s="0" t="inlineStr">
        <is>
          <t>BSE</t>
        </is>
      </c>
      <c r="C20" s="0" t="inlineStr">
        <is>
          <t>Buy</t>
        </is>
      </c>
      <c r="D20" s="0" t="n">
        <v>5</v>
      </c>
      <c r="E20" s="0" t="n">
        <v>695.05</v>
      </c>
      <c r="F20" s="0" t="n">
        <v>3499.93</v>
      </c>
      <c r="G20" s="0" t="inlineStr">
        <is>
          <t>~</t>
        </is>
      </c>
      <c r="H20" s="0" t="n">
        <v>3.46</v>
      </c>
      <c r="I20" s="0" t="n">
        <v>21.22</v>
      </c>
    </row>
    <row r="21">
      <c r="A21" s="87" t="n">
        <v>45972</v>
      </c>
      <c r="B21" s="0" t="inlineStr">
        <is>
          <t>NSE</t>
        </is>
      </c>
      <c r="C21" s="0" t="inlineStr">
        <is>
          <t>Buy</t>
        </is>
      </c>
      <c r="D21" s="0" t="n">
        <v>5</v>
      </c>
      <c r="E21" s="0" t="n">
        <v>683</v>
      </c>
      <c r="F21" s="0" t="n">
        <v>3439.23</v>
      </c>
      <c r="G21" s="0" t="inlineStr">
        <is>
          <t>~</t>
        </is>
      </c>
      <c r="H21" s="0" t="n">
        <v>3.4</v>
      </c>
      <c r="I21" s="0" t="n">
        <v>20.83</v>
      </c>
    </row>
    <row r="22">
      <c r="A22" s="87" t="n">
        <v>45961</v>
      </c>
      <c r="B22" s="0" t="inlineStr">
        <is>
          <t>BSE</t>
        </is>
      </c>
      <c r="C22" s="0" t="inlineStr">
        <is>
          <t>Buy</t>
        </is>
      </c>
      <c r="D22" s="0" t="n">
        <v>5</v>
      </c>
      <c r="E22" s="0" t="n">
        <v>697.55</v>
      </c>
      <c r="F22" s="0" t="n">
        <v>3512.48</v>
      </c>
      <c r="G22" s="0" t="inlineStr">
        <is>
          <t>~</t>
        </is>
      </c>
      <c r="H22" s="0" t="n">
        <v>3.48</v>
      </c>
      <c r="I22" s="0" t="n">
        <v>21.25</v>
      </c>
    </row>
    <row r="23">
      <c r="A23" s="87" t="n">
        <v>45957</v>
      </c>
      <c r="B23" s="0" t="inlineStr">
        <is>
          <t>NSE</t>
        </is>
      </c>
      <c r="C23" s="0" t="inlineStr">
        <is>
          <t>Buy</t>
        </is>
      </c>
      <c r="D23" s="0" t="n">
        <v>5</v>
      </c>
      <c r="E23" s="0" t="n">
        <v>694.9</v>
      </c>
      <c r="F23" s="0" t="n">
        <v>3499.1</v>
      </c>
      <c r="G23" s="0" t="inlineStr">
        <is>
          <t>~</t>
        </is>
      </c>
      <c r="H23" s="0" t="n">
        <v>3.48</v>
      </c>
      <c r="I23" s="0" t="n">
        <v>21.12</v>
      </c>
    </row>
    <row r="24">
      <c r="A24" s="87" t="n">
        <v>45954</v>
      </c>
      <c r="B24" s="0" t="inlineStr">
        <is>
          <t>BSE</t>
        </is>
      </c>
      <c r="C24" s="0" t="inlineStr">
        <is>
          <t>Buy</t>
        </is>
      </c>
      <c r="D24" s="0" t="n">
        <v>5</v>
      </c>
      <c r="E24" s="0" t="n">
        <v>693.45</v>
      </c>
      <c r="F24" s="0" t="n">
        <v>3491.86</v>
      </c>
      <c r="G24" s="0" t="inlineStr">
        <is>
          <t>~</t>
        </is>
      </c>
      <c r="H24" s="0" t="n">
        <v>3.47</v>
      </c>
      <c r="I24" s="0" t="n">
        <v>21.14</v>
      </c>
    </row>
    <row r="25">
      <c r="A25" s="87" t="n">
        <v>45953</v>
      </c>
      <c r="B25" s="0" t="inlineStr">
        <is>
          <t>NSE</t>
        </is>
      </c>
      <c r="C25" s="0" t="inlineStr">
        <is>
          <t>Buy</t>
        </is>
      </c>
      <c r="D25" s="0" t="n">
        <v>3</v>
      </c>
      <c r="E25" s="0" t="n">
        <v>695.15</v>
      </c>
      <c r="F25" s="0" t="n">
        <v>2100.24</v>
      </c>
      <c r="G25" s="0" t="inlineStr">
        <is>
          <t>~</t>
        </is>
      </c>
      <c r="H25" s="0" t="n">
        <v>2.08</v>
      </c>
      <c r="I25" s="0" t="n">
        <v>12.71</v>
      </c>
    </row>
    <row r="26">
      <c r="A26" s="87" t="n">
        <v>45953</v>
      </c>
      <c r="B26" s="0" t="inlineStr">
        <is>
          <t>NSE</t>
        </is>
      </c>
      <c r="C26" s="0" t="inlineStr">
        <is>
          <t>Buy</t>
        </is>
      </c>
      <c r="D26" s="0" t="n">
        <v>2</v>
      </c>
      <c r="E26" s="0" t="n">
        <v>695.15</v>
      </c>
      <c r="F26" s="0" t="n">
        <v>1400.16</v>
      </c>
      <c r="G26" s="0" t="inlineStr">
        <is>
          <t>~</t>
        </is>
      </c>
      <c r="H26" s="0" t="n">
        <v>1.39</v>
      </c>
      <c r="I26" s="0" t="n">
        <v>8.470000000000001</v>
      </c>
    </row>
    <row r="27">
      <c r="A27" s="87" t="n">
        <v>45953</v>
      </c>
      <c r="B27" s="0" t="inlineStr">
        <is>
          <t>NSE</t>
        </is>
      </c>
      <c r="C27" s="0" t="inlineStr">
        <is>
          <t>Buy</t>
        </is>
      </c>
      <c r="D27" s="0" t="n">
        <v>5</v>
      </c>
      <c r="E27" s="0" t="n">
        <v>695.15</v>
      </c>
      <c r="F27" s="0" t="n">
        <v>3500.41</v>
      </c>
      <c r="G27" s="0" t="inlineStr">
        <is>
          <t>~</t>
        </is>
      </c>
      <c r="H27" s="0" t="n">
        <v>3.47</v>
      </c>
      <c r="I27" s="0" t="n">
        <v>21.19</v>
      </c>
    </row>
    <row r="28">
      <c r="A28" s="87" t="n">
        <v>45950</v>
      </c>
      <c r="B28" s="0" t="inlineStr">
        <is>
          <t>NSE</t>
        </is>
      </c>
      <c r="C28" s="0" t="inlineStr">
        <is>
          <t>Buy</t>
        </is>
      </c>
      <c r="D28" s="0" t="n">
        <v>10</v>
      </c>
      <c r="E28" s="0" t="n">
        <v>680.7</v>
      </c>
      <c r="F28" s="0" t="n">
        <v>6855.21</v>
      </c>
      <c r="G28" s="0" t="inlineStr">
        <is>
          <t>~</t>
        </is>
      </c>
      <c r="H28" s="0" t="n">
        <v>6.8</v>
      </c>
      <c r="I28" s="0" t="n">
        <v>41.41</v>
      </c>
    </row>
    <row r="29">
      <c r="A29" s="87" t="n">
        <v>45947</v>
      </c>
      <c r="B29" s="0" t="inlineStr">
        <is>
          <t>BSE</t>
        </is>
      </c>
      <c r="C29" s="0" t="inlineStr">
        <is>
          <t>Buy</t>
        </is>
      </c>
      <c r="D29" s="0" t="n">
        <v>4</v>
      </c>
      <c r="E29" s="0" t="n">
        <v>690.15</v>
      </c>
      <c r="F29" s="0" t="n">
        <v>2780.17</v>
      </c>
      <c r="G29" s="0" t="inlineStr">
        <is>
          <t>~</t>
        </is>
      </c>
      <c r="H29" s="0" t="n">
        <v>2.76</v>
      </c>
      <c r="I29" s="0" t="n">
        <v>16.81</v>
      </c>
    </row>
    <row r="30">
      <c r="A30" s="87" t="n">
        <v>45924</v>
      </c>
      <c r="B30" s="0" t="inlineStr">
        <is>
          <t>NSE</t>
        </is>
      </c>
      <c r="C30" s="0" t="inlineStr">
        <is>
          <t>Buy</t>
        </is>
      </c>
      <c r="D30" s="0" t="n">
        <v>4</v>
      </c>
      <c r="E30" s="0" t="n">
        <v>690.65</v>
      </c>
      <c r="F30" s="0" t="n">
        <v>2782.14</v>
      </c>
      <c r="G30" s="0" t="inlineStr">
        <is>
          <t>~</t>
        </is>
      </c>
      <c r="H30" s="0" t="n">
        <v>2.75</v>
      </c>
      <c r="I30" s="0" t="n">
        <v>16.79</v>
      </c>
    </row>
    <row r="31">
      <c r="A31" s="87" t="n">
        <v>45897</v>
      </c>
      <c r="B31" s="0" t="inlineStr">
        <is>
          <t>BSE</t>
        </is>
      </c>
      <c r="C31" s="0" t="inlineStr">
        <is>
          <t>Buy</t>
        </is>
      </c>
      <c r="D31" s="0" t="n">
        <v>2</v>
      </c>
      <c r="E31" s="0" t="n">
        <v>673.2</v>
      </c>
      <c r="F31" s="0" t="n">
        <v>1355.98</v>
      </c>
      <c r="G31" s="0" t="inlineStr">
        <is>
          <t>~</t>
        </is>
      </c>
      <c r="H31" s="0" t="n">
        <v>1.35</v>
      </c>
      <c r="I31" s="0" t="n">
        <v>8.23</v>
      </c>
    </row>
    <row r="32">
      <c r="A32" s="38" t="n">
        <v>45950</v>
      </c>
      <c r="B32" s="39" t="inlineStr">
        <is>
          <t>BSE</t>
        </is>
      </c>
      <c r="C32" s="39" t="inlineStr">
        <is>
          <t>Buy</t>
        </is>
      </c>
      <c r="D32" s="40" t="n">
        <v>10</v>
      </c>
      <c r="E32" s="41" t="n">
        <v>685.52</v>
      </c>
      <c r="F32" s="41">
        <f>(D5*E5)</f>
        <v/>
      </c>
      <c r="G32" s="39" t="n"/>
      <c r="H32" s="40" t="n"/>
      <c r="I32" s="40" t="n"/>
      <c r="J32" s="42">
        <f>Index!$C$2</f>
        <v/>
      </c>
      <c r="K32" s="43">
        <f>IF(AND( C5="Buy", ISBLANK(W5), B5&lt;&gt;"DIV"), L5/sum(F5:I5), "")</f>
        <v/>
      </c>
      <c r="L32" s="44">
        <f>IF(AND( C5="Buy", ISBLANK(W5), B5&lt;&gt;"DIV"), (1-Index!$F$2*2)*((J5*D5)-(E5*D5)), "")</f>
        <v/>
      </c>
      <c r="M32" s="44">
        <f>IF(AND( C5="Buy", ISBLANK(W5), B5&lt;&gt;"DIV"), ((E5*D5)+L5), "")</f>
        <v/>
      </c>
      <c r="N32" s="45">
        <f>IF(AND( C5="Buy", ISBLANK(W5), B5&lt;&gt;"DIV"), D5, "")</f>
        <v/>
      </c>
      <c r="O32" s="43">
        <f>IF(AND( C5="Buy", ISBLANK(W5), B5&lt;&gt;"DIV", NOW()-A5 &lt; 365), P5/sum(F5:I5), "")</f>
        <v/>
      </c>
      <c r="P32" s="44">
        <f>IF(AND( C5="Buy", ISBLANK(W5), B5&lt;&gt;"DIV", NOW()-A5 &lt; 365), (1-Index!$F$2*2)*((J5*D5)-(E5*D5)), "")</f>
        <v/>
      </c>
      <c r="Q32" s="44">
        <f>IF(AND( C5="Buy", ISBLANK(W5), B5&lt;&gt;"DIV", NOW()-A5 &lt; 365), ((E5*D5)+P5), "")</f>
        <v/>
      </c>
      <c r="R32" s="44">
        <f>IF(AND( C5="Buy", ISBLANK(W5), B5&lt;&gt;"DIV", NOW()-A5 &lt; 365), D5, "")</f>
        <v/>
      </c>
      <c r="S32" s="46">
        <f>IF(AND( C5="Buy", ISBLANK(W5), B5&lt;&gt;"DIV", NOW()-A5 &gt; 365), T5/sum(F5:I5), "")</f>
        <v/>
      </c>
      <c r="T32" s="47">
        <f>IF(AND( C5="Buy", ISBLANK(W5), B5&lt;&gt;"DIV", NOW()-A5 &gt; 365), (1-Index!$F$2*2)*((J5*D5)-(E5*D5)), "")</f>
        <v/>
      </c>
      <c r="U32" s="47">
        <f>IF(AND( C5="Buy", ISBLANK(W5), B5&lt;&gt;"DIV", NOW()-A5 &gt; 365), ((E5*D5)+T5), "")</f>
        <v/>
      </c>
      <c r="V32" s="47">
        <f>IF(AND( C5="Buy", ISBLANK(W5), B5&lt;&gt;"DIV", NOW()-A5 &gt; 365), D5, "")</f>
        <v/>
      </c>
      <c r="W32" s="47" t="n"/>
      <c r="X32" s="47" t="n"/>
      <c r="Y32" s="46">
        <f>IF(AND( C5="Buy", W5&lt;&gt;"", AA5&lt;&gt;"", B5&lt;&gt;"DIV"), Z5/sum(F5:I5), "")</f>
        <v/>
      </c>
      <c r="Z32" s="47" t="n"/>
      <c r="AA32" s="47" t="n"/>
      <c r="AB32" s="48" t="n"/>
      <c r="AC32" s="44">
        <f>if(B5="DIV", F5,"")</f>
        <v/>
      </c>
      <c r="AD32" s="49" t="n"/>
    </row>
    <row r="33">
      <c r="A33" s="38" t="n">
        <v>45947</v>
      </c>
      <c r="B33" s="39" t="inlineStr">
        <is>
          <t>BSE</t>
        </is>
      </c>
      <c r="C33" s="39" t="inlineStr">
        <is>
          <t>Buy</t>
        </is>
      </c>
      <c r="D33" s="40" t="n">
        <v>4</v>
      </c>
      <c r="E33" s="41" t="n">
        <v>695.53</v>
      </c>
      <c r="F33" s="41">
        <f>(D6*E6)+I6</f>
        <v/>
      </c>
      <c r="G33" s="39" t="n"/>
      <c r="H33" s="40" t="n"/>
      <c r="I33" s="40" t="n"/>
      <c r="J33" s="42">
        <f>Index!$C$2</f>
        <v/>
      </c>
      <c r="K33" s="43">
        <f>IF(AND( C6="Buy", ISBLANK(W6), B6&lt;&gt;"DIV"), L6/sum(F6:I6), "")</f>
        <v/>
      </c>
      <c r="L33" s="44">
        <f>IF(AND( C6="Buy", ISBLANK(W6), B6&lt;&gt;"DIV"), (1-Index!$F$2*2)*((J6*D6)-(E6*D6)), "")</f>
        <v/>
      </c>
      <c r="M33" s="44">
        <f>IF(AND( C6="Buy", ISBLANK(W6), B6&lt;&gt;"DIV"), ((E6*D6)+L6), "")</f>
        <v/>
      </c>
      <c r="N33" s="45">
        <f>IF(AND( C6="Buy", ISBLANK(W6), B6&lt;&gt;"DIV"), D6, "")</f>
        <v/>
      </c>
      <c r="O33" s="43">
        <f>IF(AND( C6="Buy", ISBLANK(W6), B6&lt;&gt;"DIV", NOW()-A6 &lt; 365), P6/sum(F6:I6), "")</f>
        <v/>
      </c>
      <c r="P33" s="44">
        <f>IF(AND( C6="Buy", ISBLANK(W6), B6&lt;&gt;"DIV", NOW()-A6 &lt; 365), (1-Index!$F$2*2)*((J6*D6)-(E6*D6)), "")</f>
        <v/>
      </c>
      <c r="Q33" s="44">
        <f>IF(AND( C6="Buy", ISBLANK(W6), B6&lt;&gt;"DIV", NOW()-A6 &lt; 365), ((E6*D6)+P6), "")</f>
        <v/>
      </c>
      <c r="R33" s="44">
        <f>IF(AND( C6="Buy", ISBLANK(W6), B6&lt;&gt;"DIV", NOW()-A6 &lt; 365), D6, "")</f>
        <v/>
      </c>
      <c r="S33" s="46">
        <f>IF(AND( C6="Buy", ISBLANK(W6), B6&lt;&gt;"DIV", NOW()-A6 &gt; 365), T6/sum(F6:I6), "")</f>
        <v/>
      </c>
      <c r="T33" s="47">
        <f>IF(AND( C6="Buy", ISBLANK(W6), B6&lt;&gt;"DIV", NOW()-A6 &gt; 365), (1-Index!$F$2*2)*((J6*D6)-(E6*D6)), "")</f>
        <v/>
      </c>
      <c r="U33" s="47">
        <f>IF(AND( C6="Buy", ISBLANK(W6), B6&lt;&gt;"DIV", NOW()-A6 &gt; 365), ((E6*D6)+T6), "")</f>
        <v/>
      </c>
      <c r="V33" s="47">
        <f>IF(AND( C6="Buy", ISBLANK(W6), B6&lt;&gt;"DIV", NOW()-A6 &gt; 365), D6, "")</f>
        <v/>
      </c>
      <c r="W33" s="47" t="n"/>
      <c r="X33" s="47" t="n"/>
      <c r="Y33" s="46">
        <f>IF(AND( C6="Buy", W6&lt;&gt;"", AA6&lt;&gt;"", B6&lt;&gt;"DIV"), Z6/sum(F6:I6), "")</f>
        <v/>
      </c>
      <c r="Z33" s="47" t="n"/>
      <c r="AA33" s="47" t="n"/>
      <c r="AB33" s="48" t="n"/>
      <c r="AC33" s="44">
        <f>if(B6="DIV", F6,"")</f>
        <v/>
      </c>
      <c r="AD33" s="49" t="n"/>
    </row>
    <row r="34">
      <c r="A34" s="38" t="n">
        <v>45924</v>
      </c>
      <c r="B34" s="39" t="inlineStr">
        <is>
          <t>BSE</t>
        </is>
      </c>
      <c r="C34" s="39" t="inlineStr">
        <is>
          <t>Buy</t>
        </is>
      </c>
      <c r="D34" s="40" t="n">
        <v>4</v>
      </c>
      <c r="E34" s="41" t="n">
        <v>695.53</v>
      </c>
      <c r="F34" s="41">
        <f>(D7*E7)+I7</f>
        <v/>
      </c>
      <c r="G34" s="39" t="n"/>
      <c r="H34" s="40" t="n"/>
      <c r="I34" s="40" t="n"/>
      <c r="J34" s="42">
        <f>Index!$C$2</f>
        <v/>
      </c>
      <c r="K34" s="43">
        <f>IF(AND( C7="Buy", ISBLANK(W7), B7&lt;&gt;"DIV"), L7/sum(F7:I7), "")</f>
        <v/>
      </c>
      <c r="L34" s="44">
        <f>IF(AND( C7="Buy", ISBLANK(W7), B7&lt;&gt;"DIV"), (1-Index!$F$2*2)*((J7*D7)-(E7*D7)), "")</f>
        <v/>
      </c>
      <c r="M34" s="44">
        <f>IF(AND( C7="Buy", ISBLANK(W7), B7&lt;&gt;"DIV"), ((E7*D7)+L7), "")</f>
        <v/>
      </c>
      <c r="N34" s="45">
        <f>IF(AND( C7="Buy", ISBLANK(W7), B7&lt;&gt;"DIV"), D7, "")</f>
        <v/>
      </c>
      <c r="O34" s="43">
        <f>IF(AND( C7="Buy", ISBLANK(W7), B7&lt;&gt;"DIV", NOW()-A7 &lt; 365), P7/sum(F7:I7), "")</f>
        <v/>
      </c>
      <c r="P34" s="44">
        <f>IF(AND( C7="Buy", ISBLANK(W7), B7&lt;&gt;"DIV", NOW()-A7 &lt; 365), (1-Index!$F$2*2)*((J7*D7)-(E7*D7)), "")</f>
        <v/>
      </c>
      <c r="Q34" s="44">
        <f>IF(AND( C7="Buy", ISBLANK(W7), B7&lt;&gt;"DIV", NOW()-A7 &lt; 365), ((E7*D7)+P7), "")</f>
        <v/>
      </c>
      <c r="R34" s="44">
        <f>IF(AND( C7="Buy", ISBLANK(W7), B7&lt;&gt;"DIV", NOW()-A7 &lt; 365), D7, "")</f>
        <v/>
      </c>
      <c r="S34" s="46">
        <f>IF(AND( C7="Buy", ISBLANK(W7), B7&lt;&gt;"DIV", NOW()-A7 &gt; 365), T7/sum(F7:I7), "")</f>
        <v/>
      </c>
      <c r="T34" s="47">
        <f>IF(AND( C7="Buy", ISBLANK(W7), B7&lt;&gt;"DIV", NOW()-A7 &gt; 365), (1-Index!$F$2*2)*((J7*D7)-(E7*D7)), "")</f>
        <v/>
      </c>
      <c r="U34" s="47">
        <f>IF(AND( C7="Buy", ISBLANK(W7), B7&lt;&gt;"DIV", NOW()-A7 &gt; 365), ((E7*D7)+T7), "")</f>
        <v/>
      </c>
      <c r="V34" s="47">
        <f>IF(AND( C7="Buy", ISBLANK(W7), B7&lt;&gt;"DIV", NOW()-A7 &gt; 365), D7, "")</f>
        <v/>
      </c>
      <c r="W34" s="47" t="n"/>
      <c r="X34" s="47" t="n"/>
      <c r="Y34" s="46">
        <f>IF(AND( C7="Buy", W7&lt;&gt;"", AA7&lt;&gt;"", B7&lt;&gt;"DIV"), Z7/sum(F7:I7), "")</f>
        <v/>
      </c>
      <c r="Z34" s="47" t="n"/>
      <c r="AA34" s="47" t="n"/>
      <c r="AB34" s="48" t="n"/>
      <c r="AC34" s="44">
        <f>if(B7="DIV", F7,"")</f>
        <v/>
      </c>
      <c r="AD34" s="49" t="n"/>
    </row>
    <row r="35">
      <c r="A35" s="38" t="n">
        <v>45897</v>
      </c>
      <c r="B35" s="39" t="inlineStr">
        <is>
          <t>BSE</t>
        </is>
      </c>
      <c r="C35" s="39" t="inlineStr">
        <is>
          <t>Buy</t>
        </is>
      </c>
      <c r="D35" s="40" t="n">
        <v>2</v>
      </c>
      <c r="E35" s="41" t="n">
        <v>677.99</v>
      </c>
      <c r="F35" s="41" t="n">
        <v>1355.98</v>
      </c>
      <c r="G35" s="39" t="inlineStr">
        <is>
          <t>~</t>
        </is>
      </c>
      <c r="H35" s="40" t="n">
        <v>1.35</v>
      </c>
      <c r="I35" s="40" t="n">
        <v>8.23</v>
      </c>
      <c r="J35" s="42">
        <f>Index!$C$2</f>
        <v/>
      </c>
      <c r="K35" s="43">
        <f>IF(AND( C8="Buy", ISBLANK(W8), B8&lt;&gt;"DIV"), L8/sum(F8:I8), "")</f>
        <v/>
      </c>
      <c r="L35" s="44">
        <f>IF(AND( C8="Buy", ISBLANK(W8), B8&lt;&gt;"DIV"), (1-Index!$F$2*2)*((J8*D8)-(E8*D8)), "")</f>
        <v/>
      </c>
      <c r="M35" s="44">
        <f>IF(AND( C8="Buy", ISBLANK(W8), B8&lt;&gt;"DIV"), ((E8*D8)+L8), "")</f>
        <v/>
      </c>
      <c r="N35" s="45">
        <f>IF(AND( C8="Buy", ISBLANK(W8), B8&lt;&gt;"DIV"), D8, "")</f>
        <v/>
      </c>
      <c r="O35" s="43">
        <f>IF(AND( C8="Buy", ISBLANK(W8), B8&lt;&gt;"DIV", NOW()-A8 &lt; 365), P8/sum(F8:I8), "")</f>
        <v/>
      </c>
      <c r="P35" s="44">
        <f>IF(AND( C8="Buy", ISBLANK(W8), B8&lt;&gt;"DIV", NOW()-A8 &lt; 365), (1-Index!$F$2*2)*((J8*D8)-(E8*D8)), "")</f>
        <v/>
      </c>
      <c r="Q35" s="44">
        <f>IF(AND( C8="Buy", ISBLANK(W8), B8&lt;&gt;"DIV", NOW()-A8 &lt; 365), ((E8*D8)+P8), "")</f>
        <v/>
      </c>
      <c r="R35" s="44">
        <f>IF(AND( C8="Buy", ISBLANK(W8), B8&lt;&gt;"DIV", NOW()-A8 &lt; 365), D8, "")</f>
        <v/>
      </c>
      <c r="S35" s="46">
        <f>IF(AND( C8="Buy", ISBLANK(W8), B8&lt;&gt;"DIV", NOW()-A8 &gt; 365), T8/sum(F8:I8), "")</f>
        <v/>
      </c>
      <c r="T35" s="47">
        <f>IF(AND( C8="Buy", ISBLANK(W8), B8&lt;&gt;"DIV", NOW()-A8 &gt; 365), (1-Index!$F$2*2)*((J8*D8)-(E8*D8)), "")</f>
        <v/>
      </c>
      <c r="U35" s="47">
        <f>IF(AND( C8="Buy", ISBLANK(W8), B8&lt;&gt;"DIV", NOW()-A8 &gt; 365), ((E8*D8)+T8), "")</f>
        <v/>
      </c>
      <c r="V35" s="47">
        <f>IF(AND( C8="Buy", ISBLANK(W8), B8&lt;&gt;"DIV", NOW()-A8 &gt; 365), D8, "")</f>
        <v/>
      </c>
      <c r="W35" s="47" t="n"/>
      <c r="X35" s="47" t="n"/>
      <c r="Y35" s="46">
        <f>IF(AND( C8="Buy", W8&lt;&gt;"", AA8&lt;&gt;"", B8&lt;&gt;"DIV"), Z8/sum(F8:I8), "")</f>
        <v/>
      </c>
      <c r="Z35" s="47" t="n"/>
      <c r="AA35" s="47" t="n"/>
      <c r="AB35" s="48" t="n"/>
      <c r="AC35" s="44">
        <f>if(B8="DIV", F8,"")</f>
        <v/>
      </c>
      <c r="AD35" s="49" t="n"/>
    </row>
    <row r="36">
      <c r="A36" s="38" t="n">
        <v>45855</v>
      </c>
      <c r="B36" s="39" t="inlineStr">
        <is>
          <t>NSE</t>
        </is>
      </c>
      <c r="C36" s="39" t="inlineStr">
        <is>
          <t>Buy</t>
        </is>
      </c>
      <c r="D36" s="40" t="n">
        <v>3</v>
      </c>
      <c r="E36" s="41" t="n">
        <v>732.05</v>
      </c>
      <c r="F36" s="41" t="n">
        <v>2196.15</v>
      </c>
      <c r="G36" s="39" t="inlineStr">
        <is>
          <t>~</t>
        </is>
      </c>
      <c r="H36" s="40" t="n">
        <v>2.18</v>
      </c>
      <c r="I36" s="40" t="n">
        <v>13.27</v>
      </c>
      <c r="J36" s="42">
        <f>Index!$C$2</f>
        <v/>
      </c>
      <c r="K36" s="43">
        <f>IF(AND( C9="Buy", ISBLANK(W9), B9&lt;&gt;"DIV"), L9/sum(F9:I9), "")</f>
        <v/>
      </c>
      <c r="L36" s="44">
        <f>IF(AND( C9="Buy", ISBLANK(W9), B9&lt;&gt;"DIV"), (1-Index!$F$2*2)*((J9*D9)-(E9*D9)), "")</f>
        <v/>
      </c>
      <c r="M36" s="44">
        <f>IF(AND( C9="Buy", ISBLANK(W9), B9&lt;&gt;"DIV"), ((E9*D9)+L9), "")</f>
        <v/>
      </c>
      <c r="N36" s="45">
        <f>IF(AND( C9="Buy", ISBLANK(W9), B9&lt;&gt;"DIV"), D9, "")</f>
        <v/>
      </c>
      <c r="O36" s="43">
        <f>IF(AND( C9="Buy", ISBLANK(W9), B9&lt;&gt;"DIV", NOW()-A9 &lt; 365), P9/sum(F9:I9), "")</f>
        <v/>
      </c>
      <c r="P36" s="44">
        <f>IF(AND( C9="Buy", ISBLANK(W9), B9&lt;&gt;"DIV", NOW()-A9 &lt; 365), (1-Index!$F$2*2)*((J9*D9)-(E9*D9)), "")</f>
        <v/>
      </c>
      <c r="Q36" s="44">
        <f>IF(AND( C9="Buy", ISBLANK(W9), B9&lt;&gt;"DIV", NOW()-A9 &lt; 365), ((E9*D9)+P9), "")</f>
        <v/>
      </c>
      <c r="R36" s="44">
        <f>IF(AND( C9="Buy", ISBLANK(W9), B9&lt;&gt;"DIV", NOW()-A9 &lt; 365), D9, "")</f>
        <v/>
      </c>
      <c r="S36" s="46">
        <f>IF(AND( C9="Buy", ISBLANK(W9), B9&lt;&gt;"DIV", NOW()-A9 &gt; 365), T9/sum(F9:I9), "")</f>
        <v/>
      </c>
      <c r="T36" s="47">
        <f>IF(AND( C9="Buy", ISBLANK(W9), B9&lt;&gt;"DIV", NOW()-A9 &gt; 365), (1-Index!$F$2*2)*((J9*D9)-(E9*D9)), "")</f>
        <v/>
      </c>
      <c r="U36" s="47">
        <f>IF(AND( C9="Buy", ISBLANK(W9), B9&lt;&gt;"DIV", NOW()-A9 &gt; 365), ((E9*D9)+T9), "")</f>
        <v/>
      </c>
      <c r="V36" s="47">
        <f>IF(AND( C9="Buy", ISBLANK(W9), B9&lt;&gt;"DIV", NOW()-A9 &gt; 365), D9, "")</f>
        <v/>
      </c>
      <c r="W36" s="47" t="n"/>
      <c r="X36" s="47" t="n"/>
      <c r="Y36" s="46">
        <f>IF(AND( C9="Buy", W9&lt;&gt;"", AA9&lt;&gt;"", B9&lt;&gt;"DIV"), Z9/sum(F9:I9), "")</f>
        <v/>
      </c>
      <c r="Z36" s="47" t="n"/>
      <c r="AA36" s="47" t="n"/>
      <c r="AB36" s="48" t="n"/>
      <c r="AC36" s="44">
        <f>if(B9="DIV", F9,"")</f>
        <v/>
      </c>
      <c r="AD36" s="49" t="n"/>
    </row>
    <row r="37">
      <c r="A37" s="38" t="n">
        <v>45824</v>
      </c>
      <c r="B37" s="39" t="inlineStr">
        <is>
          <t>DIV</t>
        </is>
      </c>
      <c r="C37" s="39" t="inlineStr">
        <is>
          <t>Buy</t>
        </is>
      </c>
      <c r="D37" s="40" t="n">
        <v>17</v>
      </c>
      <c r="E37" s="41" t="n">
        <v>11.7</v>
      </c>
      <c r="F37" s="41" t="n">
        <v>198.9</v>
      </c>
      <c r="G37" s="39" t="inlineStr">
        <is>
          <t>Dividend of Rs.3.3500/- per share on Ex-Date: 16-JUN-2025 Annual-Dividend of Rs.8.3500/- per share on Ex-Date: 16-JUN-2025</t>
        </is>
      </c>
      <c r="H37" s="40" t="n">
        <v>0</v>
      </c>
      <c r="I37" s="40" t="n">
        <v>0</v>
      </c>
      <c r="J37" s="42">
        <f>Index!$C$2</f>
        <v/>
      </c>
      <c r="K37" s="43">
        <f>IF(AND( C10="Buy", ISBLANK(W10), B10&lt;&gt;"DIV"), L10/sum(F10:I10), "")</f>
        <v/>
      </c>
      <c r="L37" s="44">
        <f>IF(AND( C10="Buy", ISBLANK(W10), B10&lt;&gt;"DIV"), (1-Index!$F$2*2)*((J10*D10)-(E10*D10)), "")</f>
        <v/>
      </c>
      <c r="M37" s="44">
        <f>IF(AND( C10="Buy", ISBLANK(W10), B10&lt;&gt;"DIV"), ((E10*D10)+L10), "")</f>
        <v/>
      </c>
      <c r="N37" s="45">
        <f>IF(AND( C10="Buy", ISBLANK(W10), B10&lt;&gt;"DIV"), D10, "")</f>
        <v/>
      </c>
      <c r="O37" s="43">
        <f>IF(AND( C10="Buy", ISBLANK(W10), B10&lt;&gt;"DIV", NOW()-A10 &lt; 365), P10/sum(F10:I10), "")</f>
        <v/>
      </c>
      <c r="P37" s="44">
        <f>IF(AND( C10="Buy", ISBLANK(W10), B10&lt;&gt;"DIV", NOW()-A10 &lt; 365), (1-Index!$F$2*2)*((J10*D10)-(E10*D10)), "")</f>
        <v/>
      </c>
      <c r="Q37" s="44">
        <f>IF(AND( C10="Buy", ISBLANK(W10), B10&lt;&gt;"DIV", NOW()-A10 &lt; 365), ((E10*D10)+P10), "")</f>
        <v/>
      </c>
      <c r="R37" s="44">
        <f>IF(AND( C10="Buy", ISBLANK(W10), B10&lt;&gt;"DIV", NOW()-A10 &lt; 365), D10, "")</f>
        <v/>
      </c>
      <c r="S37" s="46">
        <f>IF(AND( C10="Buy", ISBLANK(W10), B10&lt;&gt;"DIV", NOW()-A10 &gt; 365), T10/sum(F10:I10), "")</f>
        <v/>
      </c>
      <c r="T37" s="47">
        <f>IF(AND( C10="Buy", ISBLANK(W10), B10&lt;&gt;"DIV", NOW()-A10 &gt; 365), (1-Index!$F$2*2)*((J10*D10)-(E10*D10)), "")</f>
        <v/>
      </c>
      <c r="U37" s="47">
        <f>IF(AND( C10="Buy", ISBLANK(W10), B10&lt;&gt;"DIV", NOW()-A10 &gt; 365), ((E10*D10)+T10), "")</f>
        <v/>
      </c>
      <c r="V37" s="47">
        <f>IF(AND( C10="Buy", ISBLANK(W10), B10&lt;&gt;"DIV", NOW()-A10 &gt; 365), D10, "")</f>
        <v/>
      </c>
      <c r="W37" s="47" t="n"/>
      <c r="X37" s="47" t="n"/>
      <c r="Y37" s="46">
        <f>IF(AND( C10="Buy", W10&lt;&gt;"", AA10&lt;&gt;"", B10&lt;&gt;"DIV"), Z10/sum(F10:I10), "")</f>
        <v/>
      </c>
      <c r="Z37" s="47" t="n"/>
      <c r="AA37" s="47" t="n"/>
      <c r="AB37" s="48" t="n"/>
      <c r="AC37" s="44">
        <f>if(B10="DIV", F10,"")</f>
        <v/>
      </c>
      <c r="AD37" s="49" t="n"/>
    </row>
    <row r="38">
      <c r="A38" s="38" t="n">
        <v>45820</v>
      </c>
      <c r="B38" s="39" t="inlineStr">
        <is>
          <t>NSE</t>
        </is>
      </c>
      <c r="C38" s="39" t="inlineStr">
        <is>
          <t>Buy</t>
        </is>
      </c>
      <c r="D38" s="40" t="n">
        <v>2</v>
      </c>
      <c r="E38" s="41" t="n">
        <v>782.35</v>
      </c>
      <c r="F38" s="41" t="n">
        <v>1564.69</v>
      </c>
      <c r="G38" s="39" t="inlineStr">
        <is>
          <t>~</t>
        </is>
      </c>
      <c r="H38" s="40" t="n">
        <v>1.55</v>
      </c>
      <c r="I38" s="40" t="n">
        <v>9.44</v>
      </c>
      <c r="J38" s="42">
        <f>Index!$C$2</f>
        <v/>
      </c>
      <c r="K38" s="43">
        <f>IF(AND( C11="Buy", ISBLANK(W11), B11&lt;&gt;"DIV"), L11/sum(F11:I11), "")</f>
        <v/>
      </c>
      <c r="L38" s="44">
        <f>IF(AND( C11="Buy", ISBLANK(W11), B11&lt;&gt;"DIV"), (1-Index!$F$2*2)*((J11*D11)-(E11*D11)), "")</f>
        <v/>
      </c>
      <c r="M38" s="44">
        <f>IF(AND( C11="Buy", ISBLANK(W11), B11&lt;&gt;"DIV"), ((E11*D11)+L11), "")</f>
        <v/>
      </c>
      <c r="N38" s="45">
        <f>IF(AND( C11="Buy", ISBLANK(W11), B11&lt;&gt;"DIV"), D11, "")</f>
        <v/>
      </c>
      <c r="O38" s="43">
        <f>IF(AND( C11="Buy", ISBLANK(W11), B11&lt;&gt;"DIV", NOW()-A11 &lt; 365), P11/sum(F11:I11), "")</f>
        <v/>
      </c>
      <c r="P38" s="44">
        <f>IF(AND( C11="Buy", ISBLANK(W11), B11&lt;&gt;"DIV", NOW()-A11 &lt; 365), (1-Index!$F$2*2)*((J11*D11)-(E11*D11)), "")</f>
        <v/>
      </c>
      <c r="Q38" s="44">
        <f>IF(AND( C11="Buy", ISBLANK(W11), B11&lt;&gt;"DIV", NOW()-A11 &lt; 365), ((E11*D11)+P11), "")</f>
        <v/>
      </c>
      <c r="R38" s="44">
        <f>IF(AND( C11="Buy", ISBLANK(W11), B11&lt;&gt;"DIV", NOW()-A11 &lt; 365), D11, "")</f>
        <v/>
      </c>
      <c r="S38" s="46">
        <f>IF(AND( C11="Buy", ISBLANK(W11), B11&lt;&gt;"DIV", NOW()-A11 &gt; 365), T11/sum(F11:I11), "")</f>
        <v/>
      </c>
      <c r="T38" s="47">
        <f>IF(AND( C11="Buy", ISBLANK(W11), B11&lt;&gt;"DIV", NOW()-A11 &gt; 365), (1-Index!$F$2*2)*((J11*D11)-(E11*D11)), "")</f>
        <v/>
      </c>
      <c r="U38" s="47">
        <f>IF(AND( C11="Buy", ISBLANK(W11), B11&lt;&gt;"DIV", NOW()-A11 &gt; 365), ((E11*D11)+T11), "")</f>
        <v/>
      </c>
      <c r="V38" s="47">
        <f>IF(AND( C11="Buy", ISBLANK(W11), B11&lt;&gt;"DIV", NOW()-A11 &gt; 365), D11, "")</f>
        <v/>
      </c>
      <c r="W38" s="47" t="n"/>
      <c r="X38" s="47" t="n"/>
      <c r="Y38" s="46">
        <f>IF(AND( C11="Buy", W11&lt;&gt;"", AA11&lt;&gt;"", B11&lt;&gt;"DIV"), Z11/sum(F11:I11), "")</f>
        <v/>
      </c>
      <c r="Z38" s="47" t="n"/>
      <c r="AA38" s="47" t="n"/>
      <c r="AB38" s="48" t="n"/>
      <c r="AC38" s="44">
        <f>if(B11="DIV", F11,"")</f>
        <v/>
      </c>
      <c r="AD38" s="49" t="n"/>
    </row>
    <row r="39">
      <c r="A39" s="38" t="n">
        <v>45820</v>
      </c>
      <c r="B39" s="39" t="inlineStr">
        <is>
          <t>NSE</t>
        </is>
      </c>
      <c r="C39" s="39" t="inlineStr">
        <is>
          <t>Buy</t>
        </is>
      </c>
      <c r="D39" s="40" t="n">
        <v>5</v>
      </c>
      <c r="E39" s="41" t="n">
        <v>782.35</v>
      </c>
      <c r="F39" s="41" t="n">
        <v>3911.75</v>
      </c>
      <c r="G39" s="39" t="inlineStr">
        <is>
          <t>~</t>
        </is>
      </c>
      <c r="H39" s="40" t="n">
        <v>3.88</v>
      </c>
      <c r="I39" s="40" t="n">
        <v>23.62</v>
      </c>
      <c r="J39" s="42">
        <f>Index!$C$2</f>
        <v/>
      </c>
      <c r="K39" s="43">
        <f>IF(AND( C12="Buy", ISBLANK(W12), B12&lt;&gt;"DIV"), L12/sum(F12:I12), "")</f>
        <v/>
      </c>
      <c r="L39" s="44">
        <f>IF(AND( C12="Buy", ISBLANK(W12), B12&lt;&gt;"DIV"), (1-Index!$F$2*2)*((J12*D12)-(E12*D12)), "")</f>
        <v/>
      </c>
      <c r="M39" s="44">
        <f>IF(AND( C12="Buy", ISBLANK(W12), B12&lt;&gt;"DIV"), ((E12*D12)+L12), "")</f>
        <v/>
      </c>
      <c r="N39" s="45">
        <f>IF(AND( C12="Buy", ISBLANK(W12), B12&lt;&gt;"DIV"), D12, "")</f>
        <v/>
      </c>
      <c r="O39" s="43">
        <f>IF(AND( C12="Buy", ISBLANK(W12), B12&lt;&gt;"DIV", NOW()-A12 &lt; 365), P12/sum(F12:I12), "")</f>
        <v/>
      </c>
      <c r="P39" s="44">
        <f>IF(AND( C12="Buy", ISBLANK(W12), B12&lt;&gt;"DIV", NOW()-A12 &lt; 365), (1-Index!$F$2*2)*((J12*D12)-(E12*D12)), "")</f>
        <v/>
      </c>
      <c r="Q39" s="44">
        <f>IF(AND( C12="Buy", ISBLANK(W12), B12&lt;&gt;"DIV", NOW()-A12 &lt; 365), ((E12*D12)+P12), "")</f>
        <v/>
      </c>
      <c r="R39" s="44">
        <f>IF(AND( C12="Buy", ISBLANK(W12), B12&lt;&gt;"DIV", NOW()-A12 &lt; 365), D12, "")</f>
        <v/>
      </c>
      <c r="S39" s="46">
        <f>IF(AND( C12="Buy", ISBLANK(W12), B12&lt;&gt;"DIV", NOW()-A12 &gt; 365), T12/sum(F12:I12), "")</f>
        <v/>
      </c>
      <c r="T39" s="47">
        <f>IF(AND( C12="Buy", ISBLANK(W12), B12&lt;&gt;"DIV", NOW()-A12 &gt; 365), (1-Index!$F$2*2)*((J12*D12)-(E12*D12)), "")</f>
        <v/>
      </c>
      <c r="U39" s="47">
        <f>IF(AND( C12="Buy", ISBLANK(W12), B12&lt;&gt;"DIV", NOW()-A12 &gt; 365), ((E12*D12)+T12), "")</f>
        <v/>
      </c>
      <c r="V39" s="47">
        <f>IF(AND( C12="Buy", ISBLANK(W12), B12&lt;&gt;"DIV", NOW()-A12 &gt; 365), D12, "")</f>
        <v/>
      </c>
      <c r="W39" s="47" t="n"/>
      <c r="X39" s="47" t="n"/>
      <c r="Y39" s="46">
        <f>IF(AND( C12="Buy", W12&lt;&gt;"", AA12&lt;&gt;"", B12&lt;&gt;"DIV"), Z12/sum(F12:I12), "")</f>
        <v/>
      </c>
      <c r="Z39" s="47" t="n"/>
      <c r="AA39" s="47" t="n"/>
      <c r="AB39" s="48" t="n"/>
      <c r="AC39" s="44">
        <f>if(B12="DIV", F12,"")</f>
        <v/>
      </c>
      <c r="AD39" s="49" t="n"/>
    </row>
    <row r="40">
      <c r="A40" s="38" t="n">
        <v>45812</v>
      </c>
      <c r="B40" s="39" t="inlineStr">
        <is>
          <t>NSE</t>
        </is>
      </c>
      <c r="C40" s="39" t="inlineStr">
        <is>
          <t>Buy</t>
        </is>
      </c>
      <c r="D40" s="40" t="n">
        <v>5</v>
      </c>
      <c r="E40" s="41" t="n">
        <v>764.99</v>
      </c>
      <c r="F40" s="41" t="n">
        <v>3824.94</v>
      </c>
      <c r="G40" s="39" t="inlineStr">
        <is>
          <t>~</t>
        </is>
      </c>
      <c r="H40" s="40" t="n">
        <v>3.82</v>
      </c>
      <c r="I40" s="40" t="n">
        <v>23.12</v>
      </c>
      <c r="J40" s="42">
        <f>Index!$C$2</f>
        <v/>
      </c>
      <c r="K40" s="47" t="n"/>
      <c r="L40" s="47">
        <f>IF(AND( C13="Buy", ISBLANK(W13), B13&lt;&gt;"DIV"), (1-Index!$F$2*2)*((J13*D13)-(E13*D13)), "")</f>
        <v/>
      </c>
      <c r="M40" s="50">
        <f>IF(AND( C13="Buy", ISBLANK(W13), B13&lt;&gt;"DIV"), ((E13*D13)+L13), "")</f>
        <v/>
      </c>
      <c r="N40" s="51">
        <f>IF(AND( C13="Buy", ISBLANK(W13), B13&lt;&gt;"DIV"), D13, "")</f>
        <v/>
      </c>
      <c r="O40" s="50" t="n"/>
      <c r="P40" s="47">
        <f>IF(AND( C13="Buy", ISBLANK(W13), B13&lt;&gt;"DIV", NOW()-A13 &lt; 365), (1-Index!$F$2*2)*((J13*D13)-(E13*D13)), "")</f>
        <v/>
      </c>
      <c r="Q40" s="50">
        <f>IF(AND( C13="Buy", ISBLANK(W13), B13&lt;&gt;"DIV", NOW()-A13 &lt; 365), ((E13*D13)+P13), "")</f>
        <v/>
      </c>
      <c r="R40" s="50">
        <f>IF(AND( C13="Buy", ISBLANK(W13), B13&lt;&gt;"DIV", NOW()-A13 &lt; 365), D13, "")</f>
        <v/>
      </c>
      <c r="S40" s="46">
        <f>IF(AND( C13="Buy", ISBLANK(W13), B13&lt;&gt;"DIV", NOW()-A13 &gt; 365), T13/sum(F13:I13), "")</f>
        <v/>
      </c>
      <c r="T40" s="47">
        <f>IF(AND( C13="Buy", ISBLANK(W13), B13&lt;&gt;"DIV", NOW()-A13 &gt; 365), (1-Index!$F$2*2)*((J13*D13)-(E13*D13)), "")</f>
        <v/>
      </c>
      <c r="U40" s="47">
        <f>IF(AND( C13="Buy", ISBLANK(W13), B13&lt;&gt;"DIV", NOW()-A13 &gt; 365), ((E13*D13)+T13), "")</f>
        <v/>
      </c>
      <c r="V40" s="47">
        <f>IF(AND( C13="Buy", ISBLANK(W13), B13&lt;&gt;"DIV", NOW()-A13 &gt; 365), D13, "")</f>
        <v/>
      </c>
      <c r="W40" s="47" t="n"/>
      <c r="X40" s="47" t="n"/>
      <c r="Y40" s="46">
        <f>IF(AND( C13="Buy", W13&lt;&gt;"", AA13&lt;&gt;"", B13&lt;&gt;"DIV"), Z13/sum(F13:I13), "")</f>
        <v/>
      </c>
      <c r="Z40" s="47" t="n"/>
      <c r="AA40" s="47" t="n"/>
      <c r="AB40" s="48" t="n"/>
      <c r="AC40" s="44">
        <f>if(B13="DIV", F13,"")</f>
        <v/>
      </c>
      <c r="AD40" s="49" t="n"/>
    </row>
    <row r="41">
      <c r="A41" s="38" t="n">
        <v>45811</v>
      </c>
      <c r="B41" s="39" t="inlineStr">
        <is>
          <t>NSE</t>
        </is>
      </c>
      <c r="C41" s="39" t="inlineStr">
        <is>
          <t>Buy</t>
        </is>
      </c>
      <c r="D41" s="40" t="n">
        <v>5</v>
      </c>
      <c r="E41" s="41" t="n">
        <v>780.5</v>
      </c>
      <c r="F41" s="41" t="n">
        <v>3902.51</v>
      </c>
      <c r="G41" s="39" t="inlineStr">
        <is>
          <t>~</t>
        </is>
      </c>
      <c r="H41" s="40" t="n">
        <v>3.88</v>
      </c>
      <c r="I41" s="40" t="n">
        <v>23.63</v>
      </c>
      <c r="J41" s="42">
        <f>Index!$C$2</f>
        <v/>
      </c>
      <c r="K41" s="47" t="n"/>
      <c r="L41" s="47">
        <f>IF(AND( C14="Buy", ISBLANK(W14), B14&lt;&gt;"DIV"), (1-Index!$F$2*2)*((J14*D14)-(E14*D14)), "")</f>
        <v/>
      </c>
      <c r="M41" s="50">
        <f>IF(AND( C14="Buy", ISBLANK(W14), B14&lt;&gt;"DIV"), ((E14*D14)+L14), "")</f>
        <v/>
      </c>
      <c r="N41" s="51">
        <f>IF(AND( C14="Buy", ISBLANK(W14), B14&lt;&gt;"DIV"), D14, "")</f>
        <v/>
      </c>
      <c r="O41" s="50" t="n"/>
      <c r="P41" s="47">
        <f>IF(AND( C14="Buy", ISBLANK(W14), B14&lt;&gt;"DIV", NOW()-A14 &lt; 365), (1-Index!$F$2*2)*((J14*D14)-(E14*D14)), "")</f>
        <v/>
      </c>
      <c r="Q41" s="50">
        <f>IF(AND( C14="Buy", ISBLANK(W14), B14&lt;&gt;"DIV", NOW()-A14 &lt; 365), ((E14*D14)+P14), "")</f>
        <v/>
      </c>
      <c r="R41" s="50">
        <f>IF(AND( C14="Buy", ISBLANK(W14), B14&lt;&gt;"DIV", NOW()-A14 &lt; 365), D14, "")</f>
        <v/>
      </c>
      <c r="S41" s="46">
        <f>IF(AND( C14="Buy", ISBLANK(W14), B14&lt;&gt;"DIV", NOW()-A14 &gt; 365), T14/sum(F14:I14), "")</f>
        <v/>
      </c>
      <c r="T41" s="47">
        <f>IF(AND( C14="Buy", ISBLANK(W14), B14&lt;&gt;"DIV", NOW()-A14 &gt; 365), (1-Index!$F$2*2)*((J14*D14)-(E14*D14)), "")</f>
        <v/>
      </c>
      <c r="U41" s="47">
        <f>IF(AND( C14="Buy", ISBLANK(W14), B14&lt;&gt;"DIV", NOW()-A14 &gt; 365), ((E14*D14)+T14), "")</f>
        <v/>
      </c>
      <c r="V41" s="47">
        <f>IF(AND( C14="Buy", ISBLANK(W14), B14&lt;&gt;"DIV", NOW()-A14 &gt; 365), D14, "")</f>
        <v/>
      </c>
      <c r="W41" s="47" t="n"/>
      <c r="X41" s="47" t="n"/>
      <c r="Y41" s="46">
        <f>IF(AND( C14="Buy", W14&lt;&gt;"", AA14&lt;&gt;"", B14&lt;&gt;"DIV"), Z14/sum(F14:I14), "")</f>
        <v/>
      </c>
      <c r="Z41" s="47" t="n"/>
      <c r="AA41" s="47" t="n"/>
      <c r="AB41" s="48" t="n"/>
      <c r="AC41" s="44">
        <f>if(B14="DIV", F14,"")</f>
        <v/>
      </c>
      <c r="AD41" s="49" t="n"/>
    </row>
    <row r="42">
      <c r="E42" s="52" t="n"/>
      <c r="F42" s="52" t="n"/>
      <c r="G42" s="53" t="n"/>
      <c r="J42" s="52" t="n"/>
      <c r="K42" s="52" t="n"/>
      <c r="L42" s="52" t="n"/>
      <c r="M42" s="55" t="n"/>
      <c r="W42" s="52" t="n"/>
      <c r="X42" s="52" t="n"/>
      <c r="Y42" s="52" t="n"/>
      <c r="Z42" s="52" t="n"/>
      <c r="AA42" s="52" t="n"/>
      <c r="AB42" s="52" t="n"/>
      <c r="AC42" s="52" t="n"/>
    </row>
    <row r="43">
      <c r="E43" s="52" t="n"/>
      <c r="F43" s="52" t="n"/>
      <c r="G43" s="53" t="n"/>
      <c r="J43" s="52" t="n"/>
      <c r="K43" s="52" t="n"/>
      <c r="L43" s="52" t="n"/>
      <c r="M43" s="55" t="n"/>
      <c r="W43" s="52" t="n"/>
      <c r="X43" s="52" t="n"/>
      <c r="Y43" s="52" t="n"/>
      <c r="Z43" s="52" t="n"/>
      <c r="AA43" s="52" t="n"/>
      <c r="AB43" s="52" t="n"/>
      <c r="AC43" s="52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M967" s="55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M968" s="55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M969" s="55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M970" s="55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M971" s="55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M972" s="55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M973" s="55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M974" s="55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M975" s="55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M976" s="55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  <row r="984">
      <c r="E984" s="52" t="n"/>
      <c r="F984" s="52" t="n"/>
      <c r="G984" s="53" t="n"/>
      <c r="J984" s="52" t="n"/>
      <c r="K984" s="52" t="n"/>
      <c r="L984" s="52" t="n"/>
      <c r="W984" s="52" t="n"/>
      <c r="X984" s="52" t="n"/>
      <c r="Y984" s="52" t="n"/>
      <c r="Z984" s="52" t="n"/>
      <c r="AA984" s="52" t="n"/>
      <c r="AB984" s="52" t="n"/>
      <c r="AC984" s="52" t="n"/>
    </row>
    <row r="985">
      <c r="E985" s="52" t="n"/>
      <c r="F985" s="52" t="n"/>
      <c r="G985" s="53" t="n"/>
      <c r="J985" s="52" t="n"/>
      <c r="K985" s="52" t="n"/>
      <c r="L985" s="52" t="n"/>
      <c r="W985" s="52" t="n"/>
      <c r="X985" s="52" t="n"/>
      <c r="Y985" s="52" t="n"/>
      <c r="Z985" s="52" t="n"/>
      <c r="AA985" s="52" t="n"/>
      <c r="AB985" s="52" t="n"/>
      <c r="AC985" s="52" t="n"/>
    </row>
    <row r="986">
      <c r="E986" s="52" t="n"/>
      <c r="F986" s="52" t="n"/>
      <c r="G986" s="53" t="n"/>
      <c r="J986" s="52" t="n"/>
      <c r="K986" s="52" t="n"/>
      <c r="L986" s="52" t="n"/>
      <c r="W986" s="52" t="n"/>
      <c r="X986" s="52" t="n"/>
      <c r="Y986" s="52" t="n"/>
      <c r="Z986" s="52" t="n"/>
      <c r="AA986" s="52" t="n"/>
      <c r="AB986" s="52" t="n"/>
      <c r="AC986" s="52" t="n"/>
    </row>
    <row r="987">
      <c r="E987" s="52" t="n"/>
      <c r="F987" s="52" t="n"/>
      <c r="G987" s="53" t="n"/>
      <c r="J987" s="52" t="n"/>
      <c r="K987" s="52" t="n"/>
      <c r="L987" s="52" t="n"/>
      <c r="W987" s="52" t="n"/>
      <c r="X987" s="52" t="n"/>
      <c r="Y987" s="52" t="n"/>
      <c r="Z987" s="52" t="n"/>
      <c r="AA987" s="52" t="n"/>
      <c r="AB987" s="52" t="n"/>
      <c r="AC987" s="52" t="n"/>
    </row>
    <row r="988">
      <c r="E988" s="52" t="n"/>
      <c r="F988" s="52" t="n"/>
      <c r="G988" s="53" t="n"/>
      <c r="J988" s="52" t="n"/>
      <c r="K988" s="52" t="n"/>
      <c r="L988" s="52" t="n"/>
      <c r="W988" s="52" t="n"/>
      <c r="X988" s="52" t="n"/>
      <c r="Y988" s="52" t="n"/>
      <c r="Z988" s="52" t="n"/>
      <c r="AA988" s="52" t="n"/>
      <c r="AB988" s="52" t="n"/>
      <c r="AC988" s="52" t="n"/>
    </row>
    <row r="989">
      <c r="E989" s="52" t="n"/>
      <c r="F989" s="52" t="n"/>
      <c r="G989" s="53" t="n"/>
      <c r="J989" s="52" t="n"/>
      <c r="K989" s="52" t="n"/>
      <c r="L989" s="52" t="n"/>
      <c r="W989" s="52" t="n"/>
      <c r="X989" s="52" t="n"/>
      <c r="Y989" s="52" t="n"/>
      <c r="Z989" s="52" t="n"/>
      <c r="AA989" s="52" t="n"/>
      <c r="AB989" s="52" t="n"/>
      <c r="AC989" s="52" t="n"/>
    </row>
    <row r="990">
      <c r="E990" s="52" t="n"/>
      <c r="F990" s="52" t="n"/>
      <c r="G990" s="53" t="n"/>
      <c r="J990" s="52" t="n"/>
      <c r="K990" s="52" t="n"/>
      <c r="L990" s="52" t="n"/>
      <c r="W990" s="52" t="n"/>
      <c r="X990" s="52" t="n"/>
      <c r="Y990" s="52" t="n"/>
      <c r="Z990" s="52" t="n"/>
      <c r="AA990" s="52" t="n"/>
      <c r="AB990" s="52" t="n"/>
      <c r="AC990" s="52" t="n"/>
    </row>
    <row r="991">
      <c r="E991" s="52" t="n"/>
      <c r="F991" s="52" t="n"/>
      <c r="G991" s="53" t="n"/>
      <c r="J991" s="52" t="n"/>
      <c r="K991" s="52" t="n"/>
      <c r="L991" s="52" t="n"/>
      <c r="W991" s="52" t="n"/>
      <c r="X991" s="52" t="n"/>
      <c r="Y991" s="52" t="n"/>
      <c r="Z991" s="52" t="n"/>
      <c r="AA991" s="52" t="n"/>
      <c r="AB991" s="52" t="n"/>
      <c r="AC991" s="52" t="n"/>
    </row>
    <row r="992">
      <c r="E992" s="52" t="n"/>
      <c r="F992" s="52" t="n"/>
      <c r="G992" s="53" t="n"/>
      <c r="J992" s="52" t="n"/>
      <c r="K992" s="52" t="n"/>
      <c r="L992" s="52" t="n"/>
      <c r="W992" s="52" t="n"/>
      <c r="X992" s="52" t="n"/>
      <c r="Y992" s="52" t="n"/>
      <c r="Z992" s="52" t="n"/>
      <c r="AA992" s="52" t="n"/>
      <c r="AB992" s="52" t="n"/>
      <c r="AC992" s="52" t="n"/>
    </row>
    <row r="993">
      <c r="E993" s="52" t="n"/>
      <c r="F993" s="52" t="n"/>
      <c r="G993" s="53" t="n"/>
      <c r="J993" s="52" t="n"/>
      <c r="K993" s="52" t="n"/>
      <c r="L993" s="52" t="n"/>
      <c r="W993" s="52" t="n"/>
      <c r="X993" s="52" t="n"/>
      <c r="Y993" s="52" t="n"/>
      <c r="Z993" s="52" t="n"/>
      <c r="AA993" s="52" t="n"/>
      <c r="AB993" s="52" t="n"/>
      <c r="AC993" s="52" t="n"/>
    </row>
  </sheetData>
  <autoFilter ref="$A$4:$AO$43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13 J5:AE14 AF5:AP13">
    <cfRule type="expression" priority="5" dxfId="1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NSE:TATATECH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 t="n">
        <v>650.35</v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 t="n">
        <v>841.3</v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 t="n">
        <v>597</v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History'!$B18:$B1007,"DIV",'Trading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2026-02-07T07:12:31Z</dcterms:created>
  <dcterms:modified xmlns:dcterms="http://purl.org/dc/terms/" xmlns:xsi="http://www.w3.org/2001/XMLSchema-instance" xsi:type="dcterms:W3CDTF">2026-02-07T14:33:22Z</dcterms:modified>
</cp:coreProperties>
</file>